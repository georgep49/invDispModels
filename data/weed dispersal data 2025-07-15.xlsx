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data!$A$1:$AD$387</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2" i="1" l="1"/>
  <c r="N215" i="1"/>
  <c r="N333" i="1" l="1"/>
  <c r="N293" i="1"/>
  <c r="N278" i="1" l="1"/>
  <c r="N268" i="1"/>
  <c r="N221" i="1"/>
  <c r="N217" i="1"/>
  <c r="N213" i="1"/>
  <c r="N178" i="1"/>
  <c r="N174" i="1" l="1"/>
  <c r="N10" i="1"/>
  <c r="N386" i="1" l="1"/>
  <c r="N383" i="1"/>
  <c r="N382" i="1"/>
  <c r="N381" i="1"/>
  <c r="N379" i="1"/>
  <c r="N377" i="1"/>
  <c r="N376" i="1"/>
  <c r="N375" i="1"/>
  <c r="N373" i="1"/>
  <c r="N371" i="1"/>
  <c r="N370" i="1"/>
  <c r="N369" i="1"/>
  <c r="N368" i="1"/>
  <c r="N365" i="1"/>
  <c r="N364" i="1"/>
  <c r="N362" i="1"/>
  <c r="N358" i="1"/>
  <c r="N356" i="1"/>
  <c r="N355" i="1"/>
  <c r="N354" i="1"/>
  <c r="N353" i="1"/>
  <c r="N352" i="1"/>
  <c r="N351" i="1"/>
  <c r="N349" i="1"/>
  <c r="N348" i="1"/>
  <c r="N346" i="1"/>
  <c r="N347" i="1"/>
  <c r="N345" i="1"/>
  <c r="N343" i="1"/>
  <c r="N339" i="1"/>
  <c r="N338" i="1"/>
  <c r="N337" i="1"/>
  <c r="N336" i="1"/>
  <c r="N335" i="1"/>
  <c r="N332" i="1"/>
  <c r="N331" i="1"/>
  <c r="N330" i="1"/>
  <c r="N329" i="1"/>
  <c r="N327" i="1"/>
  <c r="N326" i="1"/>
  <c r="N323" i="1"/>
  <c r="N321" i="1"/>
  <c r="N320" i="1"/>
  <c r="N319" i="1"/>
  <c r="N318" i="1"/>
  <c r="N316" i="1"/>
  <c r="N315" i="1"/>
  <c r="N314" i="1"/>
  <c r="N313" i="1"/>
  <c r="N312" i="1"/>
  <c r="N309" i="1"/>
  <c r="N307" i="1"/>
  <c r="N305" i="1"/>
  <c r="N304" i="1"/>
  <c r="N303" i="1"/>
  <c r="N300" i="1"/>
  <c r="N299" i="1"/>
  <c r="N297" i="1"/>
  <c r="N295" i="1"/>
  <c r="N294" i="1"/>
  <c r="N292" i="1"/>
  <c r="N291" i="1"/>
  <c r="N289" i="1"/>
  <c r="N288" i="1"/>
  <c r="N287" i="1"/>
  <c r="N286" i="1"/>
  <c r="N284" i="1"/>
  <c r="N283" i="1"/>
  <c r="N281" i="1"/>
  <c r="N280" i="1"/>
  <c r="N279" i="1"/>
  <c r="N277" i="1"/>
  <c r="N276" i="1"/>
  <c r="N275" i="1"/>
  <c r="N274" i="1"/>
  <c r="N273" i="1"/>
  <c r="N272" i="1"/>
  <c r="N271" i="1"/>
  <c r="N270" i="1"/>
  <c r="N269" i="1"/>
  <c r="N267" i="1"/>
  <c r="N266" i="1"/>
  <c r="N265" i="1"/>
  <c r="N264" i="1"/>
  <c r="N263" i="1"/>
  <c r="N261" i="1"/>
  <c r="N260" i="1"/>
  <c r="N259" i="1"/>
  <c r="N258" i="1"/>
  <c r="N257" i="1"/>
  <c r="N252" i="1"/>
  <c r="N251" i="1"/>
  <c r="N250" i="1"/>
  <c r="N248" i="1"/>
  <c r="N247" i="1"/>
  <c r="N245" i="1"/>
  <c r="N244" i="1"/>
  <c r="N243" i="1"/>
  <c r="N238" i="1"/>
  <c r="N237" i="1"/>
  <c r="N236" i="1"/>
  <c r="N234" i="1"/>
  <c r="N233" i="1"/>
  <c r="N232" i="1"/>
  <c r="N230" i="1"/>
  <c r="N229" i="1"/>
  <c r="N228" i="1"/>
  <c r="N227" i="1"/>
  <c r="N226" i="1"/>
  <c r="N225" i="1"/>
  <c r="N224" i="1"/>
  <c r="N223" i="1"/>
  <c r="N222" i="1"/>
  <c r="N220" i="1"/>
  <c r="N219" i="1"/>
  <c r="N218" i="1"/>
  <c r="N216" i="1"/>
  <c r="N214" i="1"/>
  <c r="N212" i="1"/>
  <c r="N210" i="1"/>
  <c r="N209" i="1"/>
  <c r="N208" i="1"/>
  <c r="N207" i="1"/>
  <c r="N206" i="1"/>
  <c r="N205" i="1"/>
  <c r="N204" i="1"/>
  <c r="N203" i="1"/>
  <c r="N202" i="1"/>
  <c r="N201" i="1"/>
  <c r="N199" i="1"/>
  <c r="N197" i="1"/>
  <c r="N195" i="1"/>
  <c r="N194" i="1"/>
  <c r="N193" i="1"/>
  <c r="N192" i="1"/>
  <c r="N191" i="1"/>
  <c r="N189" i="1"/>
  <c r="N188" i="1"/>
  <c r="N187" i="1"/>
  <c r="N183" i="1"/>
  <c r="N182" i="1"/>
  <c r="N181" i="1"/>
  <c r="N180" i="1"/>
  <c r="N179" i="1"/>
  <c r="N177" i="1"/>
  <c r="N176" i="1"/>
  <c r="N170" i="1"/>
  <c r="N168" i="1"/>
  <c r="N167" i="1"/>
  <c r="N166" i="1"/>
  <c r="N164" i="1"/>
  <c r="N163" i="1"/>
  <c r="N162" i="1"/>
  <c r="N161" i="1"/>
  <c r="N160" i="1"/>
  <c r="N159" i="1"/>
  <c r="N155" i="1"/>
  <c r="N154" i="1"/>
  <c r="N153" i="1"/>
  <c r="N152" i="1"/>
  <c r="N151" i="1"/>
  <c r="N150" i="1"/>
  <c r="N149" i="1"/>
  <c r="N148" i="1"/>
  <c r="N363" i="1"/>
  <c r="N147" i="1"/>
  <c r="N146" i="1"/>
  <c r="N144" i="1"/>
  <c r="N310" i="1"/>
  <c r="N143" i="1"/>
  <c r="N142" i="1"/>
  <c r="N141" i="1"/>
  <c r="N140" i="1"/>
  <c r="N139" i="1"/>
  <c r="N138" i="1"/>
  <c r="N137" i="1"/>
  <c r="N136" i="1"/>
  <c r="N134" i="1"/>
  <c r="N133" i="1"/>
  <c r="N129" i="1"/>
  <c r="N127" i="1"/>
  <c r="N126" i="1"/>
  <c r="N123" i="1"/>
  <c r="N122" i="1"/>
  <c r="N120" i="1"/>
  <c r="N119" i="1"/>
  <c r="N118" i="1"/>
  <c r="N117" i="1"/>
  <c r="N116" i="1"/>
  <c r="N89" i="1"/>
  <c r="N115" i="1"/>
  <c r="H113" i="1"/>
  <c r="N112" i="1"/>
  <c r="N111" i="1"/>
  <c r="N110" i="1"/>
  <c r="N109" i="1"/>
  <c r="N107" i="1"/>
  <c r="N105" i="1"/>
  <c r="N104" i="1"/>
  <c r="N103" i="1"/>
  <c r="N102" i="1"/>
  <c r="N101" i="1"/>
  <c r="N98" i="1"/>
  <c r="N97" i="1"/>
  <c r="N96" i="1"/>
  <c r="N95" i="1"/>
  <c r="N94" i="1"/>
  <c r="N93" i="1"/>
  <c r="N92" i="1"/>
  <c r="N90" i="1"/>
  <c r="N88" i="1"/>
  <c r="N87" i="1"/>
  <c r="N83" i="1"/>
  <c r="N82" i="1"/>
  <c r="N78" i="1"/>
  <c r="N80" i="1"/>
  <c r="N76" i="1"/>
  <c r="N74" i="1"/>
  <c r="N73" i="1"/>
  <c r="N72" i="1"/>
  <c r="N71" i="1"/>
  <c r="N70" i="1"/>
  <c r="N69" i="1"/>
  <c r="N68" i="1"/>
  <c r="N67" i="1"/>
  <c r="N66" i="1"/>
  <c r="N65" i="1"/>
  <c r="N64" i="1"/>
  <c r="N63" i="1"/>
  <c r="N62" i="1"/>
  <c r="N61" i="1"/>
  <c r="N60" i="1"/>
  <c r="N58" i="1"/>
  <c r="N56" i="1"/>
  <c r="N55" i="1"/>
  <c r="N54" i="1"/>
  <c r="N52" i="1"/>
  <c r="N51" i="1"/>
  <c r="N50" i="1"/>
  <c r="N49" i="1"/>
  <c r="N48" i="1"/>
  <c r="N46" i="1"/>
  <c r="N45" i="1"/>
  <c r="N43" i="1"/>
  <c r="N41" i="1"/>
  <c r="N40" i="1"/>
  <c r="N39" i="1"/>
  <c r="N38" i="1"/>
  <c r="N36" i="1"/>
  <c r="N35" i="1"/>
  <c r="N34" i="1"/>
  <c r="N30" i="1"/>
  <c r="N28" i="1"/>
  <c r="N27" i="1"/>
  <c r="N25" i="1"/>
  <c r="N24" i="1"/>
  <c r="N23" i="1"/>
  <c r="N20" i="1"/>
  <c r="N19" i="1"/>
  <c r="N18" i="1"/>
  <c r="N16" i="1"/>
  <c r="N15" i="1"/>
  <c r="N12" i="1"/>
  <c r="N11" i="1"/>
  <c r="N9" i="1"/>
  <c r="N8" i="1"/>
  <c r="N7" i="1"/>
  <c r="N6" i="1"/>
  <c r="N5" i="1"/>
  <c r="N4" i="1"/>
  <c r="N3" i="1"/>
  <c r="N2" i="1"/>
</calcChain>
</file>

<file path=xl/sharedStrings.xml><?xml version="1.0" encoding="utf-8"?>
<sst xmlns="http://schemas.openxmlformats.org/spreadsheetml/2006/main" count="5318" uniqueCount="2646">
  <si>
    <t>authority</t>
  </si>
  <si>
    <t>species</t>
  </si>
  <si>
    <t>synonym</t>
  </si>
  <si>
    <t>common name</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</si>
  <si>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</si>
  <si>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</si>
  <si>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</si>
  <si>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</si>
  <si>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</si>
  <si>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</si>
  <si>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</si>
  <si>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</si>
  <si>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</si>
  <si>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</si>
  <si>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</si>
  <si>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</si>
  <si>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</si>
  <si>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</si>
  <si>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</si>
  <si>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</si>
  <si>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</si>
  <si>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</si>
  <si>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</si>
  <si>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</si>
  <si>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</si>
  <si>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</si>
  <si>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</si>
  <si>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</si>
  <si>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</si>
  <si>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</si>
  <si>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</si>
  <si>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</si>
  <si>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</si>
  <si>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</si>
  <si>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</si>
  <si>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</si>
  <si>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Seed dispersed a short distance form parent plant by wind and gravity (NZPCN)</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</si>
  <si>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</si>
  <si>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</si>
  <si>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</si>
  <si>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</si>
  <si>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</si>
  <si>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</si>
  <si>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</si>
  <si>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</si>
  <si>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</si>
  <si>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</si>
  <si>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</si>
  <si>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</si>
  <si>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</si>
  <si>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</si>
  <si>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</si>
  <si>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</si>
  <si>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has no structures directly aiding active seed dispersal and large seeds (&gt;10 mg) (Esler 1988); Seeds dispersed locally by wind and gravity (NZPCN)</t>
  </si>
  <si>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</si>
  <si>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</si>
  <si>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</si>
  <si>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</si>
  <si>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</si>
  <si>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</si>
  <si>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</si>
  <si>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</si>
  <si>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</si>
  <si>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</si>
  <si>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</si>
  <si>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</si>
  <si>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</si>
  <si>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r>
      <t>Acacia</t>
    </r>
    <r>
      <rPr>
        <sz val="11"/>
        <rFont val="Calibri"/>
        <family val="2"/>
        <scheme val="minor"/>
      </rPr>
      <t xml:space="preserve"> spp. have no structures directly aiding active seed dispersal and large seeds (&gt;10 mg) (Esler 1988).</t>
    </r>
  </si>
  <si>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</si>
  <si>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</si>
  <si>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</si>
  <si>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</si>
  <si>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</si>
  <si>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</si>
  <si>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</si>
  <si>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</si>
  <si>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</si>
  <si>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</si>
  <si>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</si>
  <si>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</si>
  <si>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</si>
  <si>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</si>
  <si>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</si>
  <si>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</si>
  <si>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</si>
  <si>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</si>
  <si>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</si>
  <si>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</si>
  <si>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</si>
  <si>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</si>
  <si>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</si>
  <si>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</si>
  <si>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</si>
  <si>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</si>
  <si>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</si>
  <si>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</si>
  <si>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</si>
  <si>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</si>
  <si>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</si>
  <si>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</si>
  <si>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</si>
  <si>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</si>
  <si>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</si>
  <si>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</si>
  <si>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</si>
  <si>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</si>
  <si>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</si>
  <si>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</si>
  <si>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</si>
  <si>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</si>
  <si>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</si>
  <si>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</si>
  <si>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</si>
  <si>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</si>
  <si>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</si>
  <si>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</si>
  <si>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</si>
  <si>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</si>
  <si>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</si>
  <si>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</si>
  <si>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</si>
  <si>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</si>
  <si>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</si>
  <si>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</si>
  <si>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</si>
  <si>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</si>
  <si>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</si>
  <si>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</si>
  <si>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</si>
  <si>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</si>
  <si>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</si>
  <si>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</si>
  <si>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</si>
  <si>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</si>
  <si>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</si>
  <si>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</si>
  <si>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</si>
  <si>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</si>
  <si>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</si>
  <si>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</si>
  <si>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</si>
  <si>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</si>
  <si>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</si>
  <si>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</si>
  <si>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</si>
  <si>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</si>
  <si>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</si>
  <si>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 Dispersed by people and the wind.</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</si>
  <si>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</si>
  <si>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</si>
  <si>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</si>
  <si>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</si>
  <si>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</si>
  <si>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</si>
  <si>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</si>
  <si>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</si>
  <si>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</si>
  <si>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</si>
  <si>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</si>
  <si>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</si>
  <si>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</si>
  <si>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</si>
  <si>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</si>
  <si>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</si>
  <si>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</si>
  <si>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</si>
  <si>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</si>
  <si>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</si>
  <si>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</si>
  <si>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</si>
  <si>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</si>
  <si>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</si>
  <si>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</si>
  <si>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</si>
  <si>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</si>
  <si>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</si>
  <si>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</si>
  <si>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</si>
  <si>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</si>
  <si>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</si>
  <si>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</si>
  <si>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</si>
  <si>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</si>
  <si>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</si>
  <si>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</si>
  <si>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</si>
  <si>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</si>
  <si>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</si>
  <si>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</si>
  <si>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</si>
  <si>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</si>
  <si>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</si>
  <si>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</si>
  <si>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</si>
  <si>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</si>
  <si>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</si>
  <si>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</si>
  <si>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</si>
  <si>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</si>
  <si>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</si>
  <si>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</si>
  <si>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</si>
  <si>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</si>
  <si>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</si>
  <si>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</si>
  <si>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</si>
  <si>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</si>
  <si>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</si>
  <si>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</si>
  <si>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</si>
  <si>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</si>
  <si>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</si>
  <si>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</si>
  <si>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</si>
  <si>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</si>
  <si>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</si>
  <si>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</si>
  <si>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</si>
  <si>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</si>
  <si>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</si>
  <si>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</si>
  <si>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</si>
  <si>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</si>
  <si>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</si>
  <si>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</si>
  <si>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</si>
  <si>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</si>
  <si>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</si>
  <si>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</si>
  <si>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</si>
  <si>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</si>
  <si>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</si>
  <si>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</si>
  <si>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</si>
  <si>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</si>
  <si>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</si>
  <si>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</si>
  <si>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</si>
  <si>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</si>
  <si>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</si>
  <si>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</si>
  <si>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</si>
  <si>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</si>
  <si>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</si>
  <si>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</si>
  <si>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</si>
  <si>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</si>
  <si>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Bird spread the seeds long distances. Also spread by water and gravity. (Weedbusters https://www.weedbusters.org.nz/what-are-weeds/weed-list/bangalow-palm/, accessed 15/6/2023</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</si>
  <si>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</si>
  <si>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</si>
  <si>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</si>
  <si>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</si>
  <si>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</si>
  <si>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</si>
  <si>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</si>
  <si>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</si>
  <si>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</si>
  <si>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</si>
  <si>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</si>
  <si>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</si>
  <si>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</si>
  <si>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</si>
  <si>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</si>
  <si>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</si>
  <si>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</si>
  <si>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</si>
  <si>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</si>
  <si>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</si>
  <si>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</si>
  <si>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</si>
  <si>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</si>
  <si>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</si>
  <si>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</si>
  <si>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</si>
  <si>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</si>
  <si>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</si>
  <si>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</si>
  <si>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</si>
  <si>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</si>
  <si>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</si>
  <si>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</si>
  <si>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</si>
  <si>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</si>
  <si>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Dispersed by birds (Fromont &amp; King 1992); Asparagus spp. have succulent fruits which are dispersed by birds quite effectively (Esler 1988).</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</si>
  <si>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</si>
  <si>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</si>
  <si>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</si>
  <si>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</si>
  <si>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</si>
  <si>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</si>
  <si>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</si>
  <si>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</si>
  <si>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</si>
  <si>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</si>
  <si>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</si>
  <si>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</si>
  <si>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</si>
  <si>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</si>
  <si>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</si>
  <si>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</si>
  <si>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</si>
  <si>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</si>
  <si>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</si>
  <si>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</si>
  <si>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</si>
  <si>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</si>
  <si>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</si>
  <si>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</si>
  <si>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</si>
  <si>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</si>
  <si>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</si>
  <si>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</si>
  <si>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</si>
  <si>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</si>
  <si>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</si>
  <si>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</si>
  <si>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</si>
  <si>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</si>
  <si>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</si>
  <si>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</si>
  <si>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pappus absent</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</si>
  <si>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</si>
  <si>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</si>
  <si>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</si>
  <si>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</si>
  <si>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</si>
  <si>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</si>
  <si>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</si>
  <si>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</si>
  <si>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</si>
  <si>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</si>
  <si>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</si>
  <si>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</si>
  <si>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</si>
  <si>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</si>
  <si>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</si>
  <si>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</si>
  <si>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</si>
  <si>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</si>
  <si>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</si>
  <si>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</si>
  <si>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</si>
  <si>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</si>
  <si>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</si>
  <si>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</si>
  <si>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</si>
  <si>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</si>
  <si>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</si>
  <si>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</si>
  <si>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</si>
  <si>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</si>
  <si>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</si>
  <si>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</si>
  <si>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</si>
  <si>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</si>
  <si>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</si>
  <si>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</si>
  <si>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</si>
  <si>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</si>
  <si>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</si>
  <si>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</si>
  <si>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</si>
  <si>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</si>
  <si>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</si>
  <si>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</si>
  <si>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</si>
  <si>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</si>
  <si>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</si>
  <si>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</si>
  <si>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seed dispersed by wind and water (Timmins &amp; Mckenzie 1995)</t>
  </si>
  <si>
    <t>Buddleja madagascariensis Lam.</t>
  </si>
  <si>
    <t>Buddleja madagascariensis</t>
  </si>
  <si>
    <t>Madagascar buddleia</t>
  </si>
  <si>
    <t>fruit not seen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</si>
  <si>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</si>
  <si>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</si>
  <si>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</si>
  <si>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</si>
  <si>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</si>
  <si>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</si>
  <si>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</si>
  <si>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</si>
  <si>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</si>
  <si>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</si>
  <si>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</si>
  <si>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</si>
  <si>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</si>
  <si>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</si>
  <si>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</si>
  <si>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</si>
  <si>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</si>
  <si>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</si>
  <si>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</si>
  <si>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</si>
  <si>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</si>
  <si>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</si>
  <si>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</si>
  <si>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</si>
  <si>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</si>
  <si>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</si>
  <si>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</si>
  <si>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</si>
  <si>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</si>
  <si>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</si>
  <si>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</si>
  <si>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</si>
  <si>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</si>
  <si>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</si>
  <si>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</si>
  <si>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</si>
  <si>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Carex divisa Huds.</t>
  </si>
  <si>
    <t>Carex divisa</t>
  </si>
  <si>
    <t>divided sedge</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</si>
  <si>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</si>
  <si>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</si>
  <si>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</si>
  <si>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</si>
  <si>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</si>
  <si>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</si>
  <si>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</si>
  <si>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</si>
  <si>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</si>
  <si>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</si>
  <si>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</si>
  <si>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</si>
  <si>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</si>
  <si>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</si>
  <si>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</si>
  <si>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</si>
  <si>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</si>
  <si>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</si>
  <si>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</si>
  <si>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</si>
  <si>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</si>
  <si>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</si>
  <si>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</si>
  <si>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</si>
  <si>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</si>
  <si>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</si>
  <si>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</si>
  <si>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</si>
  <si>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</si>
  <si>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</si>
  <si>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</si>
  <si>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</si>
  <si>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</si>
  <si>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</si>
  <si>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</si>
  <si>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Carpobrotus edulis</t>
  </si>
  <si>
    <t>NZ Flora Online: coast, roadside, sand</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</si>
  <si>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</si>
  <si>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</si>
  <si>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</si>
  <si>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</si>
  <si>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</si>
  <si>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</si>
  <si>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</si>
  <si>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</si>
  <si>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</si>
  <si>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</si>
  <si>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</si>
  <si>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</si>
  <si>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</si>
  <si>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</si>
  <si>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Chinese fountain grass</t>
  </si>
  <si>
    <t>barbed bristles</t>
  </si>
  <si>
    <t>&gt;600km</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</si>
  <si>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</si>
  <si>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</si>
  <si>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</si>
  <si>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</si>
  <si>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</si>
  <si>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</si>
  <si>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</si>
  <si>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</si>
  <si>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</si>
  <si>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</si>
  <si>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</si>
  <si>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</si>
  <si>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</si>
  <si>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</si>
  <si>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</si>
  <si>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</si>
  <si>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</si>
  <si>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</si>
  <si>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</si>
  <si>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</si>
  <si>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</si>
  <si>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</si>
  <si>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</si>
  <si>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</si>
  <si>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</si>
  <si>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</si>
  <si>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</si>
  <si>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</si>
  <si>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</si>
  <si>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</si>
  <si>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</si>
  <si>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</si>
  <si>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</si>
  <si>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</si>
  <si>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</si>
  <si>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</si>
  <si>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</si>
  <si>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</si>
  <si>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</si>
  <si>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</si>
  <si>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</si>
  <si>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</si>
  <si>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</si>
  <si>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</si>
  <si>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</si>
  <si>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</si>
  <si>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</si>
  <si>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</si>
  <si>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</si>
  <si>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</si>
  <si>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</si>
  <si>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</si>
  <si>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</si>
  <si>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</si>
  <si>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</si>
  <si>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</si>
  <si>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</si>
  <si>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</si>
  <si>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</si>
  <si>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</si>
  <si>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</si>
  <si>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</si>
  <si>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</si>
  <si>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</si>
  <si>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</si>
  <si>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</si>
  <si>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</si>
  <si>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</si>
  <si>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</si>
  <si>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</si>
  <si>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</si>
  <si>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</si>
  <si>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</si>
  <si>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</si>
  <si>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</si>
  <si>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</si>
  <si>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</si>
  <si>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</si>
  <si>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</si>
  <si>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</si>
  <si>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</si>
  <si>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</si>
  <si>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</si>
  <si>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</si>
  <si>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</si>
  <si>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</si>
  <si>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</si>
  <si>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</si>
  <si>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</si>
  <si>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</si>
  <si>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</si>
  <si>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</si>
  <si>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</si>
  <si>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</si>
  <si>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</si>
  <si>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</si>
  <si>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</si>
  <si>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</si>
  <si>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</si>
  <si>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</si>
  <si>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</si>
  <si>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</si>
  <si>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</si>
  <si>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</si>
  <si>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</si>
  <si>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</si>
  <si>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</si>
  <si>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</si>
  <si>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</si>
  <si>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</si>
  <si>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</si>
  <si>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</si>
  <si>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</si>
  <si>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</si>
  <si>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</si>
  <si>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</si>
  <si>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</si>
  <si>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</si>
  <si>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</si>
  <si>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</si>
  <si>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</si>
  <si>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</si>
  <si>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</si>
  <si>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</si>
  <si>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</si>
  <si>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</si>
  <si>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</si>
  <si>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</si>
  <si>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</si>
  <si>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</si>
  <si>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</si>
  <si>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</si>
  <si>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</si>
  <si>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</si>
  <si>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</si>
  <si>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</si>
  <si>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</si>
  <si>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</si>
  <si>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</si>
  <si>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</si>
  <si>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</si>
  <si>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</si>
  <si>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</si>
  <si>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</si>
  <si>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</si>
  <si>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</si>
  <si>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</si>
  <si>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</si>
  <si>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</si>
  <si>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</si>
  <si>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</si>
  <si>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</si>
  <si>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</si>
  <si>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</si>
  <si>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</si>
  <si>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</si>
  <si>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</si>
  <si>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</si>
  <si>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</si>
  <si>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</si>
  <si>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</si>
  <si>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</si>
  <si>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</si>
  <si>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</si>
  <si>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</si>
  <si>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</si>
  <si>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</si>
  <si>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</si>
  <si>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</si>
  <si>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</si>
  <si>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</si>
  <si>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</si>
  <si>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</si>
  <si>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</si>
  <si>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</si>
  <si>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</si>
  <si>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</si>
  <si>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</si>
  <si>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</si>
  <si>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</si>
  <si>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Seed dispersed by contaminated machinery (NZPCN factsheet prepared by Paul Champion and Deborah Hofstra (NIWA)).</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</si>
  <si>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</si>
  <si>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</si>
  <si>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</si>
  <si>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</si>
  <si>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</si>
  <si>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</si>
  <si>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</si>
  <si>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</si>
  <si>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</si>
  <si>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</si>
  <si>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</si>
  <si>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</si>
  <si>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</si>
  <si>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</si>
  <si>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</si>
  <si>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</si>
  <si>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</si>
  <si>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</si>
  <si>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</si>
  <si>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</si>
  <si>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</si>
  <si>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</si>
  <si>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</si>
  <si>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</si>
  <si>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</si>
  <si>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</si>
  <si>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no structures directly aiding active seed dispersal. Small seeds (0.1-1.0 mg) (Esler 1988); seed dispersal by wind, water, humans, vertebrates (Timmins &amp; Mackenzie 1995).</t>
  </si>
  <si>
    <t>Datura stramonium L.</t>
  </si>
  <si>
    <t>Datura stramonium</t>
  </si>
  <si>
    <t>thornapple</t>
  </si>
  <si>
    <t>dehiscent capsule</t>
  </si>
  <si>
    <t>buoyant capsule and seed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</si>
  <si>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</si>
  <si>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</si>
  <si>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</si>
  <si>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</si>
  <si>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</si>
  <si>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</si>
  <si>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</si>
  <si>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</si>
  <si>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</si>
  <si>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</si>
  <si>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</si>
  <si>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</si>
  <si>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</si>
  <si>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</si>
  <si>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</si>
  <si>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</si>
  <si>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</si>
  <si>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</si>
  <si>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</si>
  <si>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</si>
  <si>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</si>
  <si>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</si>
  <si>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</si>
  <si>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</si>
  <si>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</si>
  <si>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</si>
  <si>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</si>
  <si>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</si>
  <si>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</si>
  <si>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</si>
  <si>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</si>
  <si>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</si>
  <si>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</si>
  <si>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</si>
  <si>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</si>
  <si>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</si>
  <si>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</si>
  <si>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</si>
  <si>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</si>
  <si>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</si>
  <si>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</si>
  <si>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</si>
  <si>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</si>
  <si>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t>Wind; Diaspore is rolled along ground surface by wind; Direct or experimental observation; (Ridley, 1930); Diaspore=whole plant. The entire plant breaks off at ground level.</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</si>
  <si>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</si>
  <si>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</si>
  <si>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</si>
  <si>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</si>
  <si>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</si>
  <si>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</si>
  <si>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</si>
  <si>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</si>
  <si>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</si>
  <si>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</si>
  <si>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</si>
  <si>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Dispersal of these seeds was limited to within 5m of the source population and no seeds were discovered in the soil seed bank (Hodder 1997)</t>
  </si>
  <si>
    <t>elaeagnus</t>
  </si>
  <si>
    <t>achene enclosed by fleshy hypanthium (Webb et al. 1988); Normally produces only a low number of fruit (Fromont &amp; King 1992)</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</si>
  <si>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</si>
  <si>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</si>
  <si>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</si>
  <si>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</si>
  <si>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</si>
  <si>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</si>
  <si>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</si>
  <si>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</si>
  <si>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</si>
  <si>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</si>
  <si>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</si>
  <si>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</si>
  <si>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</si>
  <si>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</si>
  <si>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wind dispersed seeds (NZPCN)</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</si>
  <si>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</si>
  <si>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</si>
  <si>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</si>
  <si>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</si>
  <si>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</si>
  <si>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</si>
  <si>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Erica arborea L.</t>
  </si>
  <si>
    <t>Erica arborea</t>
  </si>
  <si>
    <t>tree heath</t>
  </si>
  <si>
    <t>shrub or small tree</t>
  </si>
  <si>
    <t>NZ Flora Online: bank, margin, open, pasture, roadside, slope, track; NZPCN: Riverbanks and regenerating forest.</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</si>
  <si>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</si>
  <si>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</si>
  <si>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</si>
  <si>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</si>
  <si>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</si>
  <si>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</si>
  <si>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</si>
  <si>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</si>
  <si>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</si>
  <si>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</si>
  <si>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</si>
  <si>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</si>
  <si>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</si>
  <si>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</si>
  <si>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</si>
  <si>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says unspecialised</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</si>
  <si>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</si>
  <si>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</si>
  <si>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</si>
  <si>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</si>
  <si>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</si>
  <si>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</si>
  <si>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</si>
  <si>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</si>
  <si>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</si>
  <si>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</si>
  <si>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</si>
  <si>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</si>
  <si>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</si>
  <si>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</si>
  <si>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</si>
  <si>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</si>
  <si>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</si>
  <si>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</si>
  <si>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</si>
  <si>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</si>
  <si>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</si>
  <si>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</si>
  <si>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</si>
  <si>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</si>
  <si>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</si>
  <si>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</si>
  <si>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</si>
  <si>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</si>
  <si>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</si>
  <si>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</si>
  <si>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</si>
  <si>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Eucalyptus delegatensis</t>
  </si>
  <si>
    <t>alpine ash</t>
  </si>
  <si>
    <t>large or very large tree</t>
  </si>
  <si>
    <r>
      <t xml:space="preserve">NZ Flora Online: gravel, track; NZPCN: </t>
    </r>
    <r>
      <rPr>
        <b/>
        <sz val="1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</si>
  <si>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</si>
  <si>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</si>
  <si>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</si>
  <si>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</si>
  <si>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</si>
  <si>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</si>
  <si>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</si>
  <si>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</si>
  <si>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</si>
  <si>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</si>
  <si>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</si>
  <si>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</si>
  <si>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</si>
  <si>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</si>
  <si>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</si>
  <si>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</si>
  <si>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</si>
  <si>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</si>
  <si>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</si>
  <si>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</si>
  <si>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</si>
  <si>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Produces thousands of tiny wind dispersed seeds. Also has the potential to spread by water and contaminated machinery, deliberate planting (NZPCN Factsheet prepared by Paul Champion and Deborah Hofstra (NIWA)).</t>
  </si>
  <si>
    <t>Euphorbia paralias</t>
  </si>
  <si>
    <t>sea spurge</t>
  </si>
  <si>
    <t>Euphorbia: Fr. usually a 3-celled capsule separating at maturity from the persistent axis</t>
  </si>
  <si>
    <t>NZPCN: Coastal - on sandy beaches and sand dunes. A strand-line species.</t>
  </si>
  <si>
    <t>buoyant seed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</si>
  <si>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</si>
  <si>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</si>
  <si>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</si>
  <si>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</si>
  <si>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</si>
  <si>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</si>
  <si>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</si>
  <si>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</si>
  <si>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</si>
  <si>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</si>
  <si>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</si>
  <si>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</si>
  <si>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</si>
  <si>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</si>
  <si>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r>
      <t>Festuca arundinacea</t>
    </r>
    <r>
      <rPr>
        <sz val="11"/>
        <rFont val="Calibri"/>
        <family val="2"/>
        <scheme val="minor"/>
      </rPr>
      <t xml:space="preserve"> has no structures directly aiding active seed dispersal and medium-sized seeds (1-10 mg) (Esler 1988).</t>
    </r>
  </si>
  <si>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</si>
  <si>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</si>
  <si>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</si>
  <si>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</si>
  <si>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</si>
  <si>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</si>
  <si>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</si>
  <si>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</si>
  <si>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</si>
  <si>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</si>
  <si>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</si>
  <si>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</si>
  <si>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</si>
  <si>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</si>
  <si>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</si>
  <si>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</si>
  <si>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</si>
  <si>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</si>
  <si>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</si>
  <si>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</si>
  <si>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</si>
  <si>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</si>
  <si>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</si>
  <si>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</si>
  <si>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</si>
  <si>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</si>
  <si>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</si>
  <si>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</si>
  <si>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</si>
  <si>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</si>
  <si>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</si>
  <si>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</si>
  <si>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</si>
  <si>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</si>
  <si>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</si>
  <si>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</si>
  <si>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</si>
  <si>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</si>
  <si>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</si>
  <si>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</si>
  <si>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</si>
  <si>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</si>
  <si>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</si>
  <si>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Glyceria maxima</t>
  </si>
  <si>
    <t>reed sweet grass</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</si>
  <si>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</si>
  <si>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</si>
  <si>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</si>
  <si>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</si>
  <si>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</si>
  <si>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</si>
  <si>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</si>
  <si>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</si>
  <si>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</si>
  <si>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</si>
  <si>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</si>
  <si>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</si>
  <si>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</si>
  <si>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</si>
  <si>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</si>
  <si>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</si>
  <si>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</si>
  <si>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</si>
  <si>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</si>
  <si>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</si>
  <si>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</si>
  <si>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</si>
  <si>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</si>
  <si>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</si>
  <si>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</si>
  <si>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</si>
  <si>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</si>
  <si>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</si>
  <si>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</si>
  <si>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</si>
  <si>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</si>
  <si>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</si>
  <si>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</si>
  <si>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</si>
  <si>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</si>
  <si>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</si>
  <si>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</si>
  <si>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</si>
  <si>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</si>
  <si>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</si>
  <si>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</si>
  <si>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</si>
  <si>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</si>
  <si>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</si>
  <si>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</si>
  <si>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</si>
  <si>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</si>
  <si>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</si>
  <si>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</si>
  <si>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</si>
  <si>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</si>
  <si>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</si>
  <si>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</si>
  <si>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</si>
  <si>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</si>
  <si>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</si>
  <si>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</si>
  <si>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</si>
  <si>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</si>
  <si>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</si>
  <si>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</si>
  <si>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</si>
  <si>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</si>
  <si>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</si>
  <si>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</si>
  <si>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</si>
  <si>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</si>
  <si>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</si>
  <si>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</si>
  <si>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</si>
  <si>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</si>
  <si>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</si>
  <si>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</si>
  <si>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</si>
  <si>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</si>
  <si>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</si>
  <si>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</si>
  <si>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</si>
  <si>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</si>
  <si>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</si>
  <si>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</si>
  <si>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</si>
  <si>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</si>
  <si>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</si>
  <si>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</si>
  <si>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Seeds dispersed via wind (minor), possibly livestock. Rhizomes via soil and water movement.</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</si>
  <si>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</si>
  <si>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</si>
  <si>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</si>
  <si>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</si>
  <si>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</si>
  <si>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</si>
  <si>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</si>
  <si>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</si>
  <si>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</si>
  <si>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</si>
  <si>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</si>
  <si>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</si>
  <si>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</si>
  <si>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</si>
  <si>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</si>
  <si>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</si>
  <si>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</si>
  <si>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</si>
  <si>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</si>
  <si>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</si>
  <si>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</si>
  <si>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</si>
  <si>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</si>
  <si>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</si>
  <si>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</si>
  <si>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</si>
  <si>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</si>
  <si>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</si>
  <si>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</si>
  <si>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</si>
  <si>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</si>
  <si>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</si>
  <si>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</si>
  <si>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</si>
  <si>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</si>
  <si>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</si>
  <si>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</si>
  <si>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</si>
  <si>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Seeds and rhizome fragments spread by water and contaminated machinery, and deliberate planting (NZPCN Factsheet prepared by Paul Champion and Deborah Hofstra (NIWA)).</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</si>
  <si>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</si>
  <si>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</si>
  <si>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</si>
  <si>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</si>
  <si>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</si>
  <si>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</si>
  <si>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</si>
  <si>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</si>
  <si>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</si>
  <si>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</si>
  <si>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</si>
  <si>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</si>
  <si>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</si>
  <si>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</si>
  <si>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</si>
  <si>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</si>
  <si>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</si>
  <si>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</si>
  <si>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</si>
  <si>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</si>
  <si>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</si>
  <si>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</si>
  <si>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</si>
  <si>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</si>
  <si>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</si>
  <si>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</si>
  <si>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</si>
  <si>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</si>
  <si>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</si>
  <si>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</si>
  <si>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</si>
  <si>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</si>
  <si>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</si>
  <si>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</si>
  <si>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</si>
  <si>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</si>
  <si>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</si>
  <si>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</si>
  <si>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</si>
  <si>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</si>
  <si>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</si>
  <si>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</si>
  <si>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</si>
  <si>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</si>
  <si>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</si>
  <si>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</si>
  <si>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</si>
  <si>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</si>
  <si>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</si>
  <si>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</si>
  <si>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</si>
  <si>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</si>
  <si>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</si>
  <si>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</si>
  <si>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</si>
  <si>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</si>
  <si>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</si>
  <si>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</si>
  <si>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</si>
  <si>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</si>
  <si>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</si>
  <si>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</si>
  <si>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</si>
  <si>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</si>
  <si>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</si>
  <si>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</si>
  <si>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</si>
  <si>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</si>
  <si>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</si>
  <si>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</si>
  <si>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</si>
  <si>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</si>
  <si>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</si>
  <si>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</si>
  <si>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</si>
  <si>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</si>
  <si>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</si>
  <si>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</si>
  <si>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</si>
  <si>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</si>
  <si>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</si>
  <si>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</si>
  <si>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</si>
  <si>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</si>
  <si>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</si>
  <si>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</si>
  <si>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</si>
  <si>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</si>
  <si>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</si>
  <si>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</si>
  <si>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</si>
  <si>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</si>
  <si>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</si>
  <si>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</si>
  <si>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</si>
  <si>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</si>
  <si>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</si>
  <si>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</si>
  <si>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</si>
  <si>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</si>
  <si>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</si>
  <si>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</si>
  <si>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</si>
  <si>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</si>
  <si>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</si>
  <si>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</si>
  <si>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</si>
  <si>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</si>
  <si>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</si>
  <si>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</si>
  <si>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</si>
  <si>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</si>
  <si>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</si>
  <si>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</si>
  <si>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</si>
  <si>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</si>
  <si>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</si>
  <si>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</si>
  <si>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</si>
  <si>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</si>
  <si>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</si>
  <si>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</si>
  <si>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</si>
  <si>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</si>
  <si>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</si>
  <si>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</si>
  <si>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</si>
  <si>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</si>
  <si>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</si>
  <si>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</si>
  <si>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</si>
  <si>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</si>
  <si>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</si>
  <si>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</si>
  <si>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</si>
  <si>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</si>
  <si>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</si>
  <si>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</si>
  <si>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</si>
  <si>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</si>
  <si>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</si>
  <si>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</si>
  <si>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</si>
  <si>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</si>
  <si>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</si>
  <si>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</si>
  <si>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</si>
  <si>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</si>
  <si>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</si>
  <si>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</si>
  <si>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</si>
  <si>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</si>
  <si>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</si>
  <si>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</si>
  <si>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</si>
  <si>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</si>
  <si>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</si>
  <si>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</si>
  <si>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</si>
  <si>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</si>
  <si>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</si>
  <si>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</si>
  <si>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</si>
  <si>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</si>
  <si>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</si>
  <si>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</si>
  <si>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</si>
  <si>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Lycopus europaeus L.</t>
  </si>
  <si>
    <t>Lycopus europaeus</t>
  </si>
  <si>
    <t>gypsywort</t>
  </si>
  <si>
    <t>NZPCN: Lake and river margins, drains and swamps, often growing at the base of raupo and tall sedges.</t>
  </si>
  <si>
    <t>Seed dispersed by water, footwear or contaminated machinery (NZPCN Factsheet prepared by Paul Champion and Deborah Hofstra (NIWA))</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</si>
  <si>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</si>
  <si>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</si>
  <si>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</si>
  <si>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</si>
  <si>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</si>
  <si>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Dispersed via seed or vegetative fragments. Water dispersed, also deliberate planting (NZPCN Factsheet prepared by Paul Champion and Deborah Hofstra (NIWA))</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</si>
  <si>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</si>
  <si>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</si>
  <si>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</si>
  <si>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</si>
  <si>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</si>
  <si>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</si>
  <si>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</si>
  <si>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</si>
  <si>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</si>
  <si>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</si>
  <si>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</si>
  <si>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</si>
  <si>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</si>
  <si>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</si>
  <si>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</si>
  <si>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</si>
  <si>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</si>
  <si>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</si>
  <si>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seed is readily dispersed by sheep (Lammerink 1968); The seeds of M. lupulina are able to pass through the digestive tract of grazing animals and remain viable (Dunbier 1972)</t>
  </si>
  <si>
    <t>Melianthus major L.</t>
  </si>
  <si>
    <t>Melianthus major</t>
  </si>
  <si>
    <t>cape honey flower</t>
  </si>
  <si>
    <t>NZ Flora Online: clay, coast, dry, hill, lowland, open, pasture, ridge, sand, shaded, sheltered, shrubland, slope, stone, wasteland</t>
  </si>
  <si>
    <t>winged fruit</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</si>
  <si>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</si>
  <si>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</si>
  <si>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</si>
  <si>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</si>
  <si>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</si>
  <si>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t>
  </si>
  <si>
    <t>Cape tulip</t>
  </si>
  <si>
    <t>25-60 cm tall</t>
  </si>
  <si>
    <t>NZPCN: Pasture and grassy waste land in scattered localities</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</si>
  <si>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</si>
  <si>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</si>
  <si>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</si>
  <si>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</si>
  <si>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</si>
  <si>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</si>
  <si>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</si>
  <si>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</si>
  <si>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</si>
  <si>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</si>
  <si>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</si>
  <si>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</si>
  <si>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</si>
  <si>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</si>
  <si>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</si>
  <si>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</si>
  <si>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</si>
  <si>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</si>
  <si>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</si>
  <si>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</si>
  <si>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</si>
  <si>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</si>
  <si>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</si>
  <si>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</si>
  <si>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</si>
  <si>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</si>
  <si>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</si>
  <si>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</si>
  <si>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</si>
  <si>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</si>
  <si>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</si>
  <si>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</si>
  <si>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</si>
  <si>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</si>
  <si>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</si>
  <si>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</si>
  <si>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</si>
  <si>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</si>
  <si>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</si>
  <si>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</si>
  <si>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</si>
  <si>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</si>
  <si>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</si>
  <si>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</si>
  <si>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</si>
  <si>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</si>
  <si>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</si>
  <si>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</si>
  <si>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</si>
  <si>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</si>
  <si>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</si>
  <si>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</si>
  <si>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</si>
  <si>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</si>
  <si>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</si>
  <si>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</si>
  <si>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</si>
  <si>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</si>
  <si>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</si>
  <si>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</si>
  <si>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</si>
  <si>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</si>
  <si>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</si>
  <si>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</si>
  <si>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</si>
  <si>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</si>
  <si>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</si>
  <si>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</si>
  <si>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</si>
  <si>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</si>
  <si>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</si>
  <si>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</si>
  <si>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</si>
  <si>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</si>
  <si>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</si>
  <si>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</si>
  <si>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</si>
  <si>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</si>
  <si>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</si>
  <si>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</si>
  <si>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</si>
  <si>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</si>
  <si>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</si>
  <si>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</si>
  <si>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</si>
  <si>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</si>
  <si>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</si>
  <si>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</si>
  <si>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</si>
  <si>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</si>
  <si>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</si>
  <si>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</si>
  <si>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</si>
  <si>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</si>
  <si>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</si>
  <si>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</si>
  <si>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</si>
  <si>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</si>
  <si>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</si>
  <si>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</si>
  <si>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</si>
  <si>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</si>
  <si>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</si>
  <si>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</si>
  <si>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</si>
  <si>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</si>
  <si>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</si>
  <si>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</si>
  <si>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</si>
  <si>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</si>
  <si>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</si>
  <si>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</si>
  <si>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</si>
  <si>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</si>
  <si>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</si>
  <si>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</si>
  <si>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</si>
  <si>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</si>
  <si>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</si>
  <si>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</si>
  <si>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</si>
  <si>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</si>
  <si>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</si>
  <si>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</si>
  <si>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</si>
  <si>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</si>
  <si>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</si>
  <si>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</si>
  <si>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</si>
  <si>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</si>
  <si>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</si>
  <si>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</si>
  <si>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</si>
  <si>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</si>
  <si>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</si>
  <si>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</si>
  <si>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</si>
  <si>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</si>
  <si>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</si>
  <si>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</si>
  <si>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</si>
  <si>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</si>
  <si>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</si>
  <si>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</si>
  <si>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</si>
  <si>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</si>
  <si>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</si>
  <si>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</si>
  <si>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</si>
  <si>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</si>
  <si>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</si>
  <si>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</si>
  <si>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</si>
  <si>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</si>
  <si>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</si>
  <si>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</si>
  <si>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</si>
  <si>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</si>
  <si>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</si>
  <si>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</si>
  <si>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</si>
  <si>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</si>
  <si>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</si>
  <si>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Seed dispersed by water, animals or contaminated machinery (NZPCN Factsheet prepared by Paul Champion and Deborah Hofstra (NIWA)).</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</si>
  <si>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</si>
  <si>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</si>
  <si>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</si>
  <si>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</si>
  <si>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</si>
  <si>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</si>
  <si>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</si>
  <si>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</si>
  <si>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</si>
  <si>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</si>
  <si>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</si>
  <si>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</si>
  <si>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</si>
  <si>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</si>
  <si>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</si>
  <si>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</si>
  <si>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</si>
  <si>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</si>
  <si>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</si>
  <si>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</si>
  <si>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</si>
  <si>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</si>
  <si>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</si>
  <si>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</si>
  <si>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</si>
  <si>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</si>
  <si>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</si>
  <si>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</si>
  <si>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</si>
  <si>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</si>
  <si>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</si>
  <si>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</si>
  <si>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</si>
  <si>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</si>
  <si>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</si>
  <si>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</si>
  <si>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wind dispersed (Wyse &amp; Hulme 2021)</t>
  </si>
  <si>
    <t>Pinus halepensis Mill.</t>
  </si>
  <si>
    <t>Pinus halepensis</t>
  </si>
  <si>
    <t>aleppo pine</t>
  </si>
  <si>
    <t>tree height (18 m) from Wyse &amp; Hulme 2021</t>
  </si>
  <si>
    <t>NZ Flora Online: bank, clay, cliff, coast, dry, open, rock outcrop, sand, scrubland, slope, stone</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</si>
  <si>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</si>
  <si>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</si>
  <si>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</si>
  <si>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</si>
  <si>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</si>
  <si>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</si>
  <si>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wind dispersed (Wyse &amp; Hulme 2021; NZPCN)</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</si>
  <si>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</si>
  <si>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</si>
  <si>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</si>
  <si>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</si>
  <si>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</si>
  <si>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</si>
  <si>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</si>
  <si>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</si>
  <si>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</si>
  <si>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</si>
  <si>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</si>
  <si>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</si>
  <si>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Pinus patula</t>
  </si>
  <si>
    <t>patula pine</t>
  </si>
  <si>
    <t>small to medium tree (to c. 20m tall in cultivation); tree height (33 m) from Wyse &amp; Hulme 2021; partly serotinous (Cronk &amp; Fuller 1995)</t>
  </si>
  <si>
    <t>NZ Flora Online: bank, roadside</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</si>
  <si>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</si>
  <si>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</si>
  <si>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</si>
  <si>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</si>
  <si>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</si>
  <si>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</si>
  <si>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</si>
  <si>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</si>
  <si>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</si>
  <si>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</si>
  <si>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</si>
  <si>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</si>
  <si>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</si>
  <si>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</si>
  <si>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</si>
  <si>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</si>
  <si>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</si>
  <si>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</si>
  <si>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</si>
  <si>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</si>
  <si>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</si>
  <si>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wind dispersed (NZPCN)</t>
  </si>
  <si>
    <t>Pinus sylvestris L.</t>
  </si>
  <si>
    <t>Pinus sylvestris</t>
  </si>
  <si>
    <t>Scots pine</t>
  </si>
  <si>
    <t>medium to large tree (Flora); Medium sized tree reaching about 35 m (NZPCN); tree height from Wyse &amp; Hulme 2021</t>
  </si>
  <si>
    <t>NZ Flora Online: bank, grassland, open, pasture, roadside, slope, terrace</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</si>
  <si>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</si>
  <si>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</si>
  <si>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</si>
  <si>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</si>
  <si>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</si>
  <si>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</si>
  <si>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</si>
  <si>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</si>
  <si>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</si>
  <si>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</si>
  <si>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</si>
  <si>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</si>
  <si>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</si>
  <si>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</si>
  <si>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</si>
  <si>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</si>
  <si>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</si>
  <si>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</si>
  <si>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</si>
  <si>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</si>
  <si>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</si>
  <si>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</si>
  <si>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</si>
  <si>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</si>
  <si>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</si>
  <si>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</si>
  <si>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</si>
  <si>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</si>
  <si>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</si>
  <si>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</si>
  <si>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</si>
  <si>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</si>
  <si>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</si>
  <si>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</si>
  <si>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</si>
  <si>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</si>
  <si>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</si>
  <si>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</si>
  <si>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</si>
  <si>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</si>
  <si>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</si>
  <si>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</si>
  <si>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</si>
  <si>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</si>
  <si>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</si>
  <si>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Populus alba L.</t>
  </si>
  <si>
    <t>Populus alba</t>
  </si>
  <si>
    <t>white poplar</t>
  </si>
  <si>
    <t>ETNZF says seeds not produced; capsule contains dense cottony hairs</t>
  </si>
  <si>
    <t>NZ Flora Online: bank, coast, gully, hill, margin, moist, open, riparian, roadside, sheltered, stone, wasteland</t>
  </si>
  <si>
    <t>Gonzalez et al. 2010</t>
  </si>
  <si>
    <t>Potamogeton crispus L.</t>
  </si>
  <si>
    <t>Potamogeton crispus</t>
  </si>
  <si>
    <t>curled pondweed</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</si>
  <si>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</si>
  <si>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</si>
  <si>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</si>
  <si>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</si>
  <si>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</si>
  <si>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</si>
  <si>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</si>
  <si>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</si>
  <si>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</si>
  <si>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</si>
  <si>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</si>
  <si>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</si>
  <si>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</si>
  <si>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</si>
  <si>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</si>
  <si>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</si>
  <si>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</si>
  <si>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</si>
  <si>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</si>
  <si>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</si>
  <si>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</si>
  <si>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</si>
  <si>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</si>
  <si>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</si>
  <si>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</si>
  <si>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</si>
  <si>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</si>
  <si>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</si>
  <si>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</si>
  <si>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</si>
  <si>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</si>
  <si>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</si>
  <si>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</si>
  <si>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</si>
  <si>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</si>
  <si>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</si>
  <si>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</si>
  <si>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</si>
  <si>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</si>
  <si>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</si>
  <si>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</si>
  <si>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</si>
  <si>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</si>
  <si>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</si>
  <si>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</si>
  <si>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</si>
  <si>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</si>
  <si>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</si>
  <si>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</si>
  <si>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</si>
  <si>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</si>
  <si>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</si>
  <si>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</si>
  <si>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</si>
  <si>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</si>
  <si>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Psidium guajava L.</t>
  </si>
  <si>
    <t>Psidium guajava</t>
  </si>
  <si>
    <t>yellow guava</t>
  </si>
  <si>
    <t>produces fruit nearly all year (Cronk &amp; Fuller 1995). Shrub or small tree to  c. 3 m high</t>
  </si>
  <si>
    <t>NZ Flora Online: ridge, roadside, rock outcrop, slope</t>
  </si>
  <si>
    <t>bird-dispersed (Atkinson 1997). NZPCN: Bird dispersed (Lisa Forester 1996). Rats also eat the fruit but will destroy many of the seeds.</t>
  </si>
  <si>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</si>
  <si>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</si>
  <si>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</si>
  <si>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</si>
  <si>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</si>
  <si>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</si>
  <si>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</si>
  <si>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</si>
  <si>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</si>
  <si>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</si>
  <si>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Pultenaea daphnoides J.C.Wendl.</t>
  </si>
  <si>
    <t>Pultenaea daphnoides</t>
  </si>
  <si>
    <t>pultenaea</t>
  </si>
  <si>
    <t>shrub up to 2m high</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</si>
  <si>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</si>
  <si>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</si>
  <si>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</si>
  <si>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</si>
  <si>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</si>
  <si>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</si>
  <si>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</si>
  <si>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</si>
  <si>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</si>
  <si>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</si>
  <si>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</si>
  <si>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</si>
  <si>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</si>
  <si>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</si>
  <si>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</si>
  <si>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</si>
  <si>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</si>
  <si>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</si>
  <si>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</si>
  <si>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</si>
  <si>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</si>
  <si>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</si>
  <si>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</si>
  <si>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</si>
  <si>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</si>
  <si>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</si>
  <si>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</si>
  <si>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</si>
  <si>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</si>
  <si>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</si>
  <si>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</si>
  <si>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</si>
  <si>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</si>
  <si>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</si>
  <si>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</si>
  <si>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</si>
  <si>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</si>
  <si>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</si>
  <si>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</si>
  <si>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</si>
  <si>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</si>
  <si>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</si>
  <si>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</si>
  <si>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97.1% of seeds found up to 10m  from release point, 0.1% of seeds dispersed to at least 100m (Stephenson et al. 2007)</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</si>
  <si>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</si>
  <si>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</si>
  <si>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</si>
  <si>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</si>
  <si>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</si>
  <si>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</si>
  <si>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</si>
  <si>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</si>
  <si>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</si>
  <si>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</si>
  <si>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</si>
  <si>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</si>
  <si>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</si>
  <si>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</si>
  <si>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</si>
  <si>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</si>
  <si>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</si>
  <si>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</si>
  <si>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</si>
  <si>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</si>
  <si>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</si>
  <si>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</si>
  <si>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</si>
  <si>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</si>
  <si>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</si>
  <si>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</si>
  <si>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</si>
  <si>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</si>
  <si>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</si>
  <si>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</si>
  <si>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</si>
  <si>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</si>
  <si>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</si>
  <si>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</si>
  <si>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</si>
  <si>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</si>
  <si>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</si>
  <si>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</si>
  <si>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</si>
  <si>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</si>
  <si>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</si>
  <si>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</si>
  <si>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</si>
  <si>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</si>
  <si>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</si>
  <si>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</si>
  <si>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</si>
  <si>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</si>
  <si>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</si>
  <si>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</si>
  <si>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</si>
  <si>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</si>
  <si>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</si>
  <si>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</si>
  <si>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</si>
  <si>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</si>
  <si>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</si>
  <si>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</si>
  <si>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</si>
  <si>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</si>
  <si>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</si>
  <si>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</si>
  <si>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</si>
  <si>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</si>
  <si>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</si>
  <si>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</si>
  <si>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</si>
  <si>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</si>
  <si>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</si>
  <si>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</si>
  <si>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</si>
  <si>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</si>
  <si>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</si>
  <si>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</si>
  <si>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</si>
  <si>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</si>
  <si>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</si>
  <si>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</si>
  <si>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</si>
  <si>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</si>
  <si>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</si>
  <si>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</si>
  <si>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</si>
  <si>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</si>
  <si>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Wind dispersed (Esler 1988); Seeds are dispersed successfully by wing and germinate easily (Ermert and Clapp 1998, cited in NZPCN)</t>
  </si>
  <si>
    <t>Sagina procumbens L.</t>
  </si>
  <si>
    <t>Sagina procumbens</t>
  </si>
  <si>
    <t>procumbent pearlwort</t>
  </si>
  <si>
    <t>NZPCN: damp sites</t>
  </si>
  <si>
    <t>hard seed coat</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</si>
  <si>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</si>
  <si>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</si>
  <si>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</si>
  <si>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</si>
  <si>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</si>
  <si>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</si>
  <si>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</si>
  <si>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</si>
  <si>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</si>
  <si>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</si>
  <si>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</si>
  <si>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</si>
  <si>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</si>
  <si>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</si>
  <si>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</si>
  <si>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</si>
  <si>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</si>
  <si>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</si>
  <si>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</si>
  <si>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</si>
  <si>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</si>
  <si>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</si>
  <si>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</si>
  <si>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</si>
  <si>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</si>
  <si>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</si>
  <si>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the fruits are spread by birds (Webb et al. 1988). Bird dispersed (Burrows 1995); Fruits eaten by bellbirds (Spurr et al. 2011).</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</si>
  <si>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</si>
  <si>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</si>
  <si>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</si>
  <si>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</si>
  <si>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</si>
  <si>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</si>
  <si>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</si>
  <si>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Bird and mammal dispersed seed (NZPCN Factsheet prepared by Paul Champion and Deborah Hofstra (NIWA)).</t>
  </si>
  <si>
    <t>Schoenoplectus californicus (C.A.Mey.) Soják</t>
  </si>
  <si>
    <t>Schoenoplectus californicus</t>
  </si>
  <si>
    <t>Californian bulrush</t>
  </si>
  <si>
    <t>NZPCN: Coastal river banks and estuaries</t>
  </si>
  <si>
    <t>bristles on seeds</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</si>
  <si>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</si>
  <si>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</si>
  <si>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</si>
  <si>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</si>
  <si>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</si>
  <si>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</si>
  <si>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</si>
  <si>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</si>
  <si>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</si>
  <si>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</si>
  <si>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very small (dust) seed weighing &lt;0.1 mg (Esler 1988)</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</si>
  <si>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</si>
  <si>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</si>
  <si>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</si>
  <si>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</si>
  <si>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</si>
  <si>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</si>
  <si>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</si>
  <si>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</si>
  <si>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</si>
  <si>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</si>
  <si>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</si>
  <si>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</si>
  <si>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</si>
  <si>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</si>
  <si>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</si>
  <si>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</si>
  <si>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</si>
  <si>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</si>
  <si>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</si>
  <si>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</si>
  <si>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</si>
  <si>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</si>
  <si>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</si>
  <si>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</si>
  <si>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</si>
  <si>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</si>
  <si>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</si>
  <si>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</si>
  <si>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</si>
  <si>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t>Setaria helvola</t>
  </si>
  <si>
    <t>yellow bristle grass</t>
  </si>
  <si>
    <t>not in Flora or NZ Flora Online; Clayson's notes: mostly an agricultural pest</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</si>
  <si>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</si>
  <si>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</si>
  <si>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</si>
  <si>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</si>
  <si>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</si>
  <si>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</si>
  <si>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</si>
  <si>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</si>
  <si>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</si>
  <si>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</si>
  <si>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</si>
  <si>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Solanum dulcamara L.</t>
  </si>
  <si>
    <t>Solanum dulcamara</t>
  </si>
  <si>
    <t>bittersweet</t>
  </si>
  <si>
    <t>NZ Flora Online: bank, clay, coast, dry, hill, log, margin, moist, open, pasture, peat, ridge, riparian, riverbed, roadside, rock outcrop, sand, shaded, sheltered, shrubland, stone, terrace, track, wasteland</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</si>
  <si>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</si>
  <si>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</si>
  <si>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</si>
  <si>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</si>
  <si>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</si>
  <si>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</si>
  <si>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</si>
  <si>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</si>
  <si>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</si>
  <si>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</si>
  <si>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</si>
  <si>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</si>
  <si>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</si>
  <si>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</si>
  <si>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</si>
  <si>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</si>
  <si>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</si>
  <si>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</si>
  <si>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</si>
  <si>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</si>
  <si>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</si>
  <si>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</si>
  <si>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</si>
  <si>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</si>
  <si>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</si>
  <si>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</si>
  <si>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</si>
  <si>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</si>
  <si>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</si>
  <si>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</si>
  <si>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</si>
  <si>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</si>
  <si>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</si>
  <si>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seeds dispersed by kereru (McEwen 1978; Powlesland et al. unpubl. data); bird dispersed (Burrows 1995)</t>
  </si>
  <si>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</si>
  <si>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</si>
  <si>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</si>
  <si>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</si>
  <si>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</si>
  <si>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</si>
  <si>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</si>
  <si>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</si>
  <si>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</si>
  <si>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</si>
  <si>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</si>
  <si>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</si>
  <si>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</si>
  <si>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</si>
  <si>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</si>
  <si>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</si>
  <si>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</si>
  <si>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</si>
  <si>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</si>
  <si>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</si>
  <si>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</si>
  <si>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</si>
  <si>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</si>
  <si>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</si>
  <si>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</si>
  <si>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</si>
  <si>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</si>
  <si>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</si>
  <si>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</si>
  <si>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</si>
  <si>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</si>
  <si>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</si>
  <si>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</si>
  <si>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</si>
  <si>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</si>
  <si>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</si>
  <si>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</si>
  <si>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</si>
  <si>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</si>
  <si>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</si>
  <si>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</si>
  <si>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</si>
  <si>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</si>
  <si>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</si>
  <si>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</si>
  <si>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</si>
  <si>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</si>
  <si>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</si>
  <si>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</si>
  <si>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</si>
  <si>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</si>
  <si>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</si>
  <si>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</si>
  <si>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</si>
  <si>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</si>
  <si>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</si>
  <si>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</si>
  <si>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</si>
  <si>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</si>
  <si>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</si>
  <si>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</si>
  <si>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</si>
  <si>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</si>
  <si>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</si>
  <si>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</si>
  <si>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</si>
  <si>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</si>
  <si>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</si>
  <si>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</si>
  <si>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</si>
  <si>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</si>
  <si>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</si>
  <si>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</si>
  <si>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</si>
  <si>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</si>
  <si>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</si>
  <si>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</si>
  <si>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</si>
  <si>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</si>
  <si>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</si>
  <si>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</si>
  <si>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</si>
  <si>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</si>
  <si>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</si>
  <si>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</si>
  <si>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</si>
  <si>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</si>
  <si>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</si>
  <si>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</si>
  <si>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</si>
  <si>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</si>
  <si>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</si>
  <si>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</si>
  <si>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</si>
  <si>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</si>
  <si>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</si>
  <si>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</si>
  <si>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</si>
  <si>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</si>
  <si>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</si>
  <si>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</si>
  <si>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</si>
  <si>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</si>
  <si>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</si>
  <si>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</si>
  <si>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</si>
  <si>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</si>
  <si>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</si>
  <si>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</si>
  <si>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</si>
  <si>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</si>
  <si>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</si>
  <si>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</si>
  <si>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</si>
  <si>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</si>
  <si>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</si>
  <si>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</si>
  <si>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</si>
  <si>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</si>
  <si>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</si>
  <si>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</si>
  <si>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</si>
  <si>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</si>
  <si>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</si>
  <si>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</si>
  <si>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</si>
  <si>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</si>
  <si>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</si>
  <si>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</si>
  <si>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</si>
  <si>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</si>
  <si>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</si>
  <si>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</si>
  <si>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</si>
  <si>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</si>
  <si>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</si>
  <si>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</si>
  <si>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</si>
  <si>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</si>
  <si>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</si>
  <si>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</si>
  <si>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</si>
  <si>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</si>
  <si>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</si>
  <si>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</si>
  <si>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</si>
  <si>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</si>
  <si>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</si>
  <si>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</si>
  <si>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</si>
  <si>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</si>
  <si>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</si>
  <si>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</si>
  <si>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</si>
  <si>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</si>
  <si>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</si>
  <si>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</si>
  <si>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</si>
  <si>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</si>
  <si>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</si>
  <si>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</si>
  <si>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</si>
  <si>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</si>
  <si>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</si>
  <si>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</si>
  <si>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</si>
  <si>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</si>
  <si>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</si>
  <si>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</si>
  <si>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</si>
  <si>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</si>
  <si>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</si>
  <si>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</si>
  <si>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</si>
  <si>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</si>
  <si>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</si>
  <si>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</si>
  <si>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</si>
  <si>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</si>
  <si>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</si>
  <si>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</si>
  <si>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</si>
  <si>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</si>
  <si>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</si>
  <si>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</si>
  <si>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</si>
  <si>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</si>
  <si>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</si>
  <si>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</si>
  <si>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</si>
  <si>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</si>
  <si>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</si>
  <si>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</si>
  <si>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</si>
  <si>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</si>
  <si>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</si>
  <si>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</si>
  <si>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</si>
  <si>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</si>
  <si>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</si>
  <si>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not in Flora; 1-3 (-4.2) m tall,  (NZPCN); Seeds of New Zealand plants sampled from Port Waikato, though viable, have not been observed to germinate in the wild (de Lange et al. 1998)</t>
  </si>
  <si>
    <t>scatterhoarding</t>
  </si>
  <si>
    <t>also possible scatterhoarding by rats in NZ?</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</si>
  <si>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</si>
  <si>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Acer negundo</t>
  </si>
  <si>
    <t>Adiantum raddianum</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</si>
  <si>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</si>
  <si>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</si>
  <si>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</si>
  <si>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</si>
  <si>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</si>
  <si>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</si>
  <si>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</si>
  <si>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</si>
  <si>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</si>
  <si>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</si>
  <si>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</si>
  <si>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</si>
  <si>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</si>
  <si>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</si>
  <si>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</si>
  <si>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</si>
  <si>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</si>
  <si>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</si>
  <si>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</si>
  <si>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</si>
  <si>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</si>
  <si>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</si>
  <si>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</si>
  <si>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</si>
  <si>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</si>
  <si>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</si>
  <si>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</si>
  <si>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</si>
  <si>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</si>
  <si>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</si>
  <si>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</si>
  <si>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</si>
  <si>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hops</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</si>
  <si>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</si>
  <si>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</si>
  <si>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</si>
  <si>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</si>
  <si>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</si>
  <si>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</si>
  <si>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</si>
  <si>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</si>
  <si>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</si>
  <si>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</si>
  <si>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</si>
  <si>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</si>
  <si>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</si>
  <si>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</si>
  <si>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</si>
  <si>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</si>
  <si>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</si>
  <si>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</si>
  <si>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</si>
  <si>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</si>
  <si>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</si>
  <si>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</si>
  <si>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</si>
  <si>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</si>
  <si>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</si>
  <si>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</si>
  <si>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</si>
  <si>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</si>
  <si>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</si>
  <si>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</si>
  <si>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</si>
  <si>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</si>
  <si>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</si>
  <si>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</si>
  <si>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</si>
  <si>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capsules not seen (Webb et al. 1988); Seed capsules have not been seen in NZ (NZPCN website, accessed 13 April 2023). Shrub 50 - (70) cm high.</t>
  </si>
  <si>
    <t>Acer negundo L.</t>
  </si>
  <si>
    <t>Adiantum raddianum C.Presl.</t>
  </si>
  <si>
    <t>Alocasia brisbanensis (F.M.Bailey) Domin</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</si>
  <si>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</si>
  <si>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</si>
  <si>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</si>
  <si>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</si>
  <si>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</si>
  <si>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</si>
  <si>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</si>
  <si>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</si>
  <si>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</si>
  <si>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</si>
  <si>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</si>
  <si>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</si>
  <si>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</si>
  <si>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</si>
  <si>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</si>
  <si>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</si>
  <si>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</si>
  <si>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</si>
  <si>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</si>
  <si>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</si>
  <si>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</si>
  <si>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</si>
  <si>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</si>
  <si>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</si>
  <si>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</si>
  <si>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</si>
  <si>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</si>
  <si>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</si>
  <si>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</si>
  <si>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</si>
  <si>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</si>
  <si>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</si>
  <si>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</si>
  <si>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</si>
  <si>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</si>
  <si>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</si>
  <si>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</si>
  <si>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</si>
  <si>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</si>
  <si>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</si>
  <si>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</si>
  <si>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</si>
  <si>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</si>
  <si>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</si>
  <si>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</si>
  <si>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</si>
  <si>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</si>
  <si>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</si>
  <si>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</si>
  <si>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</si>
  <si>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</si>
  <si>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</si>
  <si>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</si>
  <si>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</si>
  <si>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</si>
  <si>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</si>
  <si>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</si>
  <si>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</si>
  <si>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</si>
  <si>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</si>
  <si>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</si>
  <si>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</si>
  <si>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</si>
  <si>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</si>
  <si>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</si>
  <si>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</si>
  <si>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</si>
  <si>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</si>
  <si>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</si>
  <si>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</si>
  <si>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</si>
  <si>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</si>
  <si>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</si>
  <si>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</si>
  <si>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</si>
  <si>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</si>
  <si>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</si>
  <si>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</si>
  <si>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</si>
  <si>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</si>
  <si>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</si>
  <si>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</si>
  <si>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</si>
  <si>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</si>
  <si>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</si>
  <si>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</si>
  <si>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</si>
  <si>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</si>
  <si>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Cyathea cooperi</t>
  </si>
  <si>
    <t>Sphaeropteris cooperi (Hook. ex F.Muell.) R.M.Tryon</t>
  </si>
  <si>
    <t>Thinopyrum acutum (DC.) Banfi</t>
  </si>
  <si>
    <r>
      <t>Thinopyrum obtusiflorum </t>
    </r>
    <r>
      <rPr>
        <sz val="10"/>
        <rFont val="Arial"/>
        <family val="2"/>
      </rPr>
      <t>(DC.) Banfi.</t>
    </r>
  </si>
  <si>
    <t>Elytrigia pycnantha, Thinopyrum pycnanthum</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</si>
  <si>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</si>
  <si>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</si>
  <si>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</si>
  <si>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</si>
  <si>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</si>
  <si>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</si>
  <si>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</si>
  <si>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</si>
  <si>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</si>
  <si>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</si>
  <si>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Sporobolus xtownsendii</t>
  </si>
  <si>
    <t>Sporobolus alterniflorus</t>
  </si>
  <si>
    <t>Thinopyrum acutum</t>
  </si>
  <si>
    <t>Sporobolus anglicus</t>
  </si>
  <si>
    <t>Lolium arundinaceum</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</si>
  <si>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</si>
  <si>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</si>
  <si>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</si>
  <si>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</si>
  <si>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</si>
  <si>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</si>
  <si>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</si>
  <si>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</si>
  <si>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</si>
  <si>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</si>
  <si>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</si>
  <si>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</si>
  <si>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</si>
  <si>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</si>
  <si>
    <t>Berg 1975; NZPCN</t>
  </si>
  <si>
    <t>Fromont &amp; King 1992; Timmins &amp; Mackenzie 1995; Cronk &amp; Fuller 1995</t>
  </si>
  <si>
    <t>Fromont &amp; King 1992; Timmins &amp; Mackenzie 1995</t>
  </si>
  <si>
    <t>Probably exclusively vegetative spread in NZ (NZPCN website, accessed 11 April 2023).</t>
  </si>
  <si>
    <t>spongy outer testa</t>
  </si>
  <si>
    <t>Weedbusters; Zona &amp; Henderson 1989, cited in Kew SID</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</si>
  <si>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</si>
  <si>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Thompson 1976; Webb et al. 1988; Esler 1988</t>
  </si>
  <si>
    <t>Asparagus spp. have succulent fruits which are dispersed by birds quite effectively (Esler 1988).</t>
  </si>
  <si>
    <t>Fromont &amp; King 1992; Timmins &amp; Mackenzie 1995; Atkinson 1997</t>
  </si>
  <si>
    <t>light, wind-dispersed fruits with bracts (Webb et al. 1988); light nutlet with large wing</t>
  </si>
  <si>
    <t>NZPCN; Snow &amp; Snow 1988</t>
  </si>
  <si>
    <t>McIntyre et al. 1995; Toon et al. 2018</t>
  </si>
  <si>
    <t>internal dispersal (Albuquerque et al. 2006)</t>
  </si>
  <si>
    <t>Meisenburg &amp; Fox 2002</t>
  </si>
  <si>
    <t>Esler 1988; Fromont &amp; King 1992; Timmins &amp; Mackenzie 1995</t>
  </si>
  <si>
    <t>Esler 1988; Fromont &amp; King 1992</t>
  </si>
  <si>
    <t>Dozens of blackbirds feeding on berries on hawthorn hedges (Stidolph 1951. Summarised Classified Notes, Notornis 4(3), 1951)</t>
  </si>
  <si>
    <t>Ogle 2023, NZPCN</t>
  </si>
  <si>
    <t>Webb et al. 1988; Pemberton &amp; Irving 1990; Cronk &amp; Fuller 1995; Albert et al. 2015</t>
  </si>
  <si>
    <t>Ridley 1930, cited in SID; NZPCN</t>
  </si>
  <si>
    <t>Dispersed by birds and vertebrate animals (Fromont &amp; King 1992); Has succulent fruits which are dispersed by birds quite effectively (Esler 1988). Bird dispersed (Timmins &amp; Mackenzie 1995; Atkinson 1997 )</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</si>
  <si>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</si>
  <si>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 xml:space="preserve"> Esler 1988; Timmins &amp; Mackenzie 1995; Cronk &amp; Fuller 1995; Atkinson 1997</t>
  </si>
  <si>
    <t>Esler 1988; Timmins &amp; Mackenzie 1995; Atkinson 1997</t>
  </si>
  <si>
    <t>Webb et al. 1988; Esler 1988; Fromont &amp; King 1992; Burrows 1995; Atkinson 1997</t>
  </si>
  <si>
    <t>Innis 1989; Forester 1996; Berg 1975; NZPCN</t>
  </si>
  <si>
    <t>Webb et al. 1988; Atkinson 1997; Timmins &amp; Mckenzie 1995</t>
  </si>
  <si>
    <t>Wardle 1987; West 1996; NZPCN</t>
  </si>
  <si>
    <t>Bird dispersed, notably by waxeyes (Fromont &amp; King 1992)</t>
  </si>
  <si>
    <t>Esler 1988; Fromont &amp; King 1992; Timmins &amp; Mackenzie 1995; Williams &amp; Karl 1996; Atkinson 1997</t>
  </si>
  <si>
    <t>Esler 1988; Timmins &amp; Mackenzie 1995; Williams &amp; Karl 1996; Atkinson 1997</t>
  </si>
  <si>
    <t>Esler 1988; Webb et al. 1988; Fromont &amp; King 1992</t>
  </si>
  <si>
    <t>Cronk &amp; Fuller 1995; Wyse &amp; Hulme 2021</t>
  </si>
  <si>
    <t>Timmins &amp; Mackenzie 1995; Cronk &amp; Fuller 1995; Atkinson 1997; Wyse &amp; Hulme 2021</t>
  </si>
  <si>
    <t>Smith 1985; Pemberton &amp; Irving 1990; Cronk &amp; Fuller 1995; Martins et al. 2006</t>
  </si>
  <si>
    <t>Esler 1988; Debussche &amp; Isenmann 1994; Mora &amp; Smith-Ramirez 2016</t>
  </si>
  <si>
    <t>ETNZF: wind</t>
  </si>
  <si>
    <t>Smith 1985; NZPCN</t>
  </si>
  <si>
    <t>Esler 1988; Fromont &amp; King 1992; Karan 2000</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</si>
  <si>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</si>
  <si>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</si>
  <si>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Esler 1988; Stansbury 2001; NZPCN</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</si>
  <si>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</si>
  <si>
    <t>Pueraria montana (Lour.) Merr.</t>
  </si>
  <si>
    <t>Pueraria montana</t>
  </si>
  <si>
    <t>Pueraria lobata; Pueraria montana var. lobata</t>
  </si>
  <si>
    <t>Biancaea decapetala (Roth) O.Deg.</t>
  </si>
  <si>
    <t>Biancaea decapetala</t>
  </si>
  <si>
    <t>Calamagrostis arenaria (L.) Roth.</t>
  </si>
  <si>
    <t>Calamagrostis arenaria</t>
  </si>
  <si>
    <t>Pilosella piloselloides (Vill.) Soják.</t>
  </si>
  <si>
    <t>Pilosella praealta; Hieracium praealtum; Hieracium piloselloides subsp. praealta; Pilosella piloselloides subsp. praealta</t>
  </si>
  <si>
    <t>Pilosella piloselloides</t>
  </si>
  <si>
    <t>entirely submerged aquatic, peduncles above water 3–5 cm long; seed mass estimated from Fig. 3 in Xu et al. 2020</t>
  </si>
  <si>
    <t>O'Dowd &amp; Gill 1986; NZPCN; Cronk &amp; Fuller 1995</t>
  </si>
  <si>
    <t>Morgan et al. 2002; O'Dowd &amp; Gill 1986; NZPCN</t>
  </si>
  <si>
    <t>Seeds dispersed by ants in Australia and South Africa (Morgan et al. 2002); Animal; Diaspore is carried intentionally; Direct or experimental observation; (O'Dowd &amp; Gill 1986); Ants.; Iridomyrmex sp.; Diaspore=seed. The seed has an aril or aril-like structure.</t>
  </si>
  <si>
    <t>Animal; Diaspore is carried intentionally; Direct or experimental observation; (O'Dowd &amp; Gill 1986); Ants.; Diaspore=seed. The seed has an elaiosome. Probably myrmecochorous (Berg 1975)</t>
  </si>
  <si>
    <t>Animal; Diaspore is carried intentionally; Direct or experimental observation; Ants.; Diaspore=seed. The seed has an aril or aril-like structure (O'Dowd &amp; Gill 1986); dispersed by mammals &amp; water (Cronk &amp; Fuller 1995)</t>
  </si>
  <si>
    <t>Actinidia deliciosa; Actinidia chinensis var. deliciosa</t>
  </si>
  <si>
    <t>Actinidia chinensis Planch. (GBIF Taxon key: 3189694)</t>
  </si>
  <si>
    <t>Actinidia chinensis</t>
  </si>
  <si>
    <t>Hieracium levicaule Jord. (GBIF Taxon key: 3135110)</t>
  </si>
  <si>
    <t>Hieracium levicaule</t>
  </si>
  <si>
    <t>Elodea densa</t>
  </si>
  <si>
    <t>Elodea densa (Planch.) Casp.</t>
  </si>
  <si>
    <t>mean floating time of seeds was 15.4 days, suggesting that water could act as a secondary dispersal vector, contributing to long-distance dispersal (Vivianne-Smith &amp; Panetta 2005)</t>
  </si>
  <si>
    <t>Araujia sericifera Brot.</t>
  </si>
  <si>
    <t>Fallopia japonica, Polygonum cuspidatum</t>
  </si>
  <si>
    <t>Reynoutria japonica</t>
  </si>
  <si>
    <t>seeds fed to goats viable and germinated after defecation (Harrington et al 2011)</t>
  </si>
  <si>
    <t>wind dispersed (Burrows 1995); seeds fed to goats viable and germinated after defecation (Harrington et al. 2011)</t>
  </si>
  <si>
    <t>Most wind dispersal is probably within 10m of the plant. Seed can be spread in hay, by water, in mud, agricultural produce and grain, on machinery or animals (NZPCN). Seeds fed to goats viable and germinated after defecation (Harrington et al. 2011).</t>
  </si>
  <si>
    <t>Timmins &amp; McKenzie 1995; Vivianne-Smith &amp; Panetta 2005; Killick 2017</t>
  </si>
  <si>
    <t>Jones 1945; Webb et al. 1988; Matlack 1987; Cronk &amp; Fuller 1995; Spurr et al. 2011; Albert et al. 2015</t>
  </si>
  <si>
    <t>gravity, wind dispersal; seed dispersal calculated at 100 m in winds of 10 m/s &amp; 250 m in 30-40 m/s (Timmins &amp; Mackenzie 1995)</t>
  </si>
  <si>
    <t>Ridley 1930, cited in SID; Weaver &amp; Warwick 1984</t>
  </si>
  <si>
    <t>Hilton et al. 2007</t>
  </si>
  <si>
    <t>Hilton et al. 2007: Seed is wind dispersed; however, pyp grass probably does not rely on seed production for reproduction and seed dispersal is not critical to plant survival and spread. The species is able to regenerate from rhizome after being detached from the parent plant.</t>
  </si>
  <si>
    <t>Spreads by water [streams], occasionally dumped nuts, possibly by pigs or possums, favoured habitat of rats (Weedbusters https://www.weedbusters.org.nz/what-are-weeds/weed-list/japanese-walnut/). Seedlings sometimes appear in large numbers in the vicinity of parents (Webb et al. 1988). has no structures directly aiding active dispersal and large seeds (&gt;10 mg) (Esler 1988).</t>
  </si>
  <si>
    <t>Werth &amp; Scheidegger 2014; Fink et al. 2017; Fink et al. 2022</t>
  </si>
  <si>
    <t>Phytolacca octandra</t>
  </si>
  <si>
    <t>Wyse &amp; Hulme 2021</t>
  </si>
  <si>
    <t>Wind; Diaspore is blown by wind; Direct or experimental observation; (Farmer, 1997, cited in Kew SID); Diaspore=seed; the diaspore has wings or wing-like features. Secondary seed dispersal by birds (Müller-Schneider 1986, cited in Camarero et al. 2005). Pinus sp. dispersed by water birds via ectozoochory (Reynolds &amp; Cumming 2016).</t>
  </si>
  <si>
    <t>Camarero et al. 2005</t>
  </si>
  <si>
    <t>small, winged seeds primarily dispersed by wind (Camarero et al. 2005)</t>
  </si>
  <si>
    <t>Burrows 1995; Atkinson 1997</t>
  </si>
  <si>
    <t>bird dispersed (Burrows 1995; Atkinson 1997; Henderson unpubl. data)</t>
  </si>
  <si>
    <t>Gibb 1970; McEwen 1978</t>
  </si>
  <si>
    <t>fruits eaten by sparrow, silvereye, blackbird &amp; kereru; only kereru &amp; blackbird capable of swallowing  fruits (blackbird only small fruits), but the small seeds could be ingested by silvereye &amp; sparrow (Karan 2000). Fruits eaten by bellbirds (Spurr et al. 2011). Fruit eaten by kereru (Powlesland unpubl. data).</t>
  </si>
  <si>
    <t>Rubus laciniatus seed dispersed by mammals and birds (Kew SID). Rubus sp. dispersed by water birds via both endo- and ectozoochory (Reynolds &amp; Cumming 2016)</t>
  </si>
  <si>
    <t>Rubus sp. dispersed by water birds via both endo- and ectozoochory (Reynolds &amp; Cumming 2016)</t>
  </si>
  <si>
    <r>
      <t>Senna</t>
    </r>
    <r>
      <rPr>
        <sz val="11"/>
        <rFont val="Calibri"/>
        <family val="2"/>
        <scheme val="minor"/>
      </rPr>
      <t xml:space="preserve"> spp. have no structures directly aiding active seed dispersal and large seeds &gt;10 mg (Esler 1988); ballistic (West 1996)</t>
    </r>
  </si>
  <si>
    <t>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</si>
  <si>
    <t>Feldhaus et al. 2013</t>
  </si>
  <si>
    <t>Spiraea japonica seed dispersal via water or wind are common (Feldhaus et al. 2013); Spiraea spp. wind-dispersed (Zasada &amp; Stickney 2009, cited in Pate 2010 thesis); S. alba &amp; S. tomentosa seeds germinated from white-tailed deer faeces (Flaherty et al. 2018)</t>
  </si>
  <si>
    <t>Rob Simons, unpubl. data on notes recorded with herbarium specimen</t>
  </si>
  <si>
    <t>Webb et al. 1988; West 1996; Chambert &amp; James 2009</t>
  </si>
  <si>
    <t>Seed dispersed by wind, water, humans and vertebrates (Timmins &amp; Mackenzie 1995).</t>
  </si>
  <si>
    <t>Kaproth &amp; McGraw 2008; Farmer 1997, cited in SID</t>
  </si>
  <si>
    <t>Cook 1987, cited in SID</t>
  </si>
  <si>
    <t>Birds dispersed (Zona &amp; Henderson 1989, cited in SID)</t>
  </si>
  <si>
    <t>Vila &amp; D'Antonio 1998; D'Antonio 1990</t>
  </si>
  <si>
    <t>Burrows 1986, cited in SID</t>
  </si>
  <si>
    <t>Esler 1988; Timmins &amp; Mackenzie 1995</t>
  </si>
  <si>
    <t>Wind; Diaspore is blown by wind; Method not stated; (van Rheede van Oudtshoorn &amp; van Rooyen, 1999, cited in SID); Diaspore=seed. The seed is small or very small (dust seeds).</t>
  </si>
  <si>
    <t>Ridley 1930, cited in SID; Couvreur et al. 2004; Albert et al. 2015</t>
  </si>
  <si>
    <r>
      <t>NZPCN: Produces many, long-lived seeds that are dispersed by wind, water, river gravel. 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t>
    </r>
  </si>
  <si>
    <t>Dean et al. 1990; Timmins &amp; McKenzie 1995</t>
  </si>
  <si>
    <t>bract around achene acts as a wing (Ridley 1930, cited in SID)</t>
  </si>
  <si>
    <t>Debussche &amp; Isenmann 1994</t>
  </si>
  <si>
    <t>bird dispersed (Debussche &amp; Isenmann 1994). dispersed by birds, direct or experimental observation (Snow &amp; Snow 1988, cited in SID)</t>
  </si>
  <si>
    <t>dispersal distance of &gt;300 m observed</t>
  </si>
  <si>
    <t>Wind; Diaspore is blown by wind; Direct or experimental observation; (Farmer 1997, cited in SID); Diaspore=seed. The diaspore has wings or wing-like features. Pinus sp. dispersed by water birds via ectozoochory (Reynolds &amp; Cumming 2016)</t>
  </si>
  <si>
    <t>P. nigra subsp. nigra: Wind; Diaspore is blown by wind; Direct or experimental observation; (Farmer, 1997, cited in SID); Diaspore=seed. The diaspore has wings or wing-like features; Pinus sp. dispersed by water birds via ectozoochory (Reynolds &amp; Cumming 2016)</t>
  </si>
  <si>
    <t>Wind and water dispersed seed (Gonzalez et al. 2010)</t>
  </si>
  <si>
    <t>small, light seeds dispersed efficiently by wind (Cronk &amp; Fuller 1995); Seeds dispersed primarily by wind (Stephenson et al. 2007; Harris et al. 2009); Wind; Diaspore is blown by wind; Method not stated; (Ridley, 1930, cited in SID); Diaspore=seed. The diaspore is hairy or has hair-like processes.</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</si>
  <si>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via both endo- and ectozoochory (Reynolds &amp; Cumming 2016)</t>
  </si>
  <si>
    <t>Wind; Diaspore is blown by wind; Method not stated; (Ridley, 1930, cited in SID); Diaspore=fruit. The diaspore has wings or wing-like features; Rumex sp. dispersed by water birds via endozoochory (Reynolds &amp; Cumming 2016); R. acetosella seeds germinated from white-tailed deer faeces (Flaherty et al. 2018) and sheep faeces (Eichberg et al. 2007)</t>
  </si>
  <si>
    <t>undamaged seeds of cape honeyflower (Melianthus major) were the main component of the gizzard contents of a Northland kiwi (Simpson 1971).</t>
  </si>
  <si>
    <t>Williams &amp; Buxton 1995; Williams &amp; Karl 1996; Beavon &amp; Kelly 2015</t>
  </si>
  <si>
    <t>This version of the data has only the references updated from the previous version (weed dispersal data 2024-12-16.xls)</t>
  </si>
  <si>
    <t>No dispersal adaptations (Rosenthal 2006); seeds are dispersed by deer internally (sometimes; Albert et al. 2015). Viable seeds germinated from gull faeces (Green 2016);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</si>
  <si>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Seed dispersed by wind, water and contaminated machinery (NZPCN Factsheet prepared by Paul Champion and Deborah Hofstra (NIWA)); wind-dispersed (Griffiths et al. 2018)</t>
  </si>
  <si>
    <t>Couvreur et al. 2004; Griffiths et al. 2018; NZPCN</t>
  </si>
  <si>
    <t>unspecialised</t>
  </si>
  <si>
    <t>seeds have long wings; majority dispersed 10 m or more, maximum dispersal distance unknown; also reported to be water dispersed, especially along sea coasts, floodplains and riparian corridors (Tallent-Halsell &amp; Watt 2009).</t>
  </si>
  <si>
    <t>Starr et al. 2003: The medium sized seeds may be dispersed by rodents and granivorous birds, but man is almost certainly the principal dispersal agent in Hawai’i (Smith 1985). Hosaka and Thistle (1954) note that the seed is spread considerable distances by running water. It is thought that the Maui plants may have been the result of seeds in mud on large machinery used to do road work on the Hana Hwy.</t>
  </si>
  <si>
    <t>Hopley &amp; Byrne 2018</t>
  </si>
  <si>
    <t>Hosaka &amp; Thistle 1954; West 1996; Starr et al. 2003</t>
  </si>
  <si>
    <t>Esler 1988; Fromont &amp; King 1992; Timmins &amp; Mackenzie 1995; Roldão Almeida et al. 2024</t>
  </si>
  <si>
    <t>Roldão Almeida et al. 2024</t>
  </si>
  <si>
    <t>Spread via seed dispersal, while occurring, may be less important than that gained through vegetative fragmentation, since seeds do not bear a pappus and most drop near the parent plant (Panetta 2009).</t>
  </si>
  <si>
    <t>Panetta 2009; NZPCN</t>
  </si>
  <si>
    <t>panicle detaches easily in wind</t>
  </si>
  <si>
    <t>mucilage and gas bubbles in aril tissue</t>
  </si>
  <si>
    <t>seashore pioneers, and their inflorescences seem to show adaptations for dispersal of seed by ocean currents. Caryopses...retained within the spikelets
attached to disarticulating segments of the inflorescence axis; these segments are buoyant until gradually waterlogged (Sauer 1972).</t>
  </si>
  <si>
    <t>Sauer 1972; West 1996</t>
  </si>
  <si>
    <t>fruits with seeds attached to fleece of real sheep, also attached to experimental sheep dummy but not cattle dummy (Mouissie et al. 2005); seeds are dispersed by deer internally (sometimes; Albert et al. 2015). seeds germinated from cattle, red deer, hare and red grouse dung (Welch 1985).</t>
  </si>
  <si>
    <t>Welch 1985; Esler 1988; Mouissie et al. 2005; Albert et al. 2015; NZPCN</t>
  </si>
  <si>
    <t>Welch 1985; Albert et al. 2015</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</si>
  <si>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 seeds germinated from cattle &amp; sheep dung (Welch 1985).</t>
  </si>
  <si>
    <t>seeds attached to fleece only on the head of sheep (low growing grass species), also attached to both sheep and cattle experimental dummies (Mouissie et al. 2005). Seed germinated from cattle dung (Welch 1985).</t>
  </si>
  <si>
    <t>Welch 1985; Mouissie et al. 2005</t>
  </si>
  <si>
    <t>Timmins &amp; Mackenzie 1995; Couvreur et al. 2004; Mouissie et al. 2005; Albert et al. 2015; Almeida et al. 2022</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</si>
  <si>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 seeds ingested by waterfowl (Almeida et al. 2022).</t>
  </si>
  <si>
    <t>Young &amp; Young 1992, cited in SID; Couvreur et al. 2004; Rosenthal 2006; Albert et al. 2015; Almeida et al. 2022</t>
  </si>
  <si>
    <t>Webb et al. 1988; Mouissie et al. 2005; Albert et al. 2015; Almeida et al. 2022</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</si>
  <si>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  seeds ingested by waterfowl (Almeida et al. 2022).</t>
  </si>
  <si>
    <t>Welch 1985; Timmins &amp; Mackenzie 1995; Bullock &amp; Clarke 2000; Mouissie et al. 2005; Albert et al. 2015; Almeida et al. 2022</t>
  </si>
  <si>
    <t>Almeida et al. 2022</t>
  </si>
  <si>
    <t xml:space="preserve"> seeds ingested by waterfowl (Almeida et al. 2022).</t>
  </si>
  <si>
    <t>Healy &amp; Edgar 1980; Albert et al. 2015; Almeida et al. 2022</t>
  </si>
  <si>
    <t>seeds dispersed internally by deer (sometimes; Albert et al. 2015).  seeds ingested by waterfowl (Almeida et al. 2022).</t>
  </si>
  <si>
    <t>Pemberton &amp; Irving 1990; Harrington et al. 2011; Soomers et al. 2013; Albert et al. 2015; Almeida et al. 2022</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</si>
  <si>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  seeds ingested by waterfowl (Almeida et al. 2022).</t>
  </si>
  <si>
    <t>Stidolph 1951; Esler 1988; Timmins &amp; Mackenzie 1995; Cronk &amp; Fuller 1995; Williams &amp; Karl 1996; Albert et al. 2015; Almeida et al. 2022</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</si>
  <si>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  seeds ingested by waterfowl (Almeida et al. 2022).</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</si>
  <si>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 seed germinated from cattle dung (Welch 1985).  seeds ingested by waterfowl (Almeida et al. 2022).</t>
  </si>
  <si>
    <t>Wind; Diaspore is blown by wind; Method not stated; Diaspore=achene+pappus (Matlack 1987). Seeds are dispersed internally by deer (sometimes; Albert et al. 2015). Seeds dispersed attached to cattle and donkey fur, wind-dispersed plumed seed (Couvreur et al. 2004).  seeds ingested by waterfowl (Almeida et al. 2022).</t>
  </si>
  <si>
    <t>Couvreur et al. 2004; Mouissie et al. 2005; Albert et al. 2015; Almeida et al. 2022</t>
  </si>
  <si>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  seeds ingested by waterfowl (Almeida et al. 2022).</t>
  </si>
  <si>
    <t>epichorous, mucilage adhesion (Rosenthal 2006); seeds dispersed internally by deer (Albert et al. 2015). Seeds dispersed attached to cattle fur (Couvreur et al. 2004).  seeds ingested by waterfowl (Almeida et al. 2022).</t>
  </si>
  <si>
    <t>experiments show seeds are moderately buoyant (van den Broek et al. 2005); hydrochorous? (Rosenthal 2006).  seeds ingested by waterfowl (Almeida et al. 2022).</t>
  </si>
  <si>
    <t>experiment show seeds are highly buoyant (van den Broek et al. 2005); seeds can float for 7 months on a calm surface (Coops &amp; van der Velde 1995).  seeds ingested by waterfowl (Almeida et al. 2022).</t>
  </si>
  <si>
    <t>short distance wind dispersal; epichorous, mucilage adhesion (Rosenthal 2006); seeds are dispersed by deer internally (sometimes; Albert et al. 2015). Seeds dispersed attached to cattle fur (Couvreur et al. 2004); seeds germinated from red deer dung (Welch 1985). seeds ingested by waterfowl (Almeida et al. 2022).</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</si>
  <si>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 ; seeds germinated from cattle dung (Welch 1985). seeds caught in seed trap (Morris et al. 2011).  seeds ingested by waterfowl (Almeida et al. 2022).</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</si>
  <si>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 seeds ingested by waterfowl (Almeida et al. 2022).</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</si>
  <si>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 seeds ingested by waterfowl (Almeida et al. 2022).</t>
  </si>
  <si>
    <t>dispersal by sand movement (NZPCN)</t>
  </si>
  <si>
    <t>seeds ingested by waterfowl (Almeida et al. 2022).</t>
  </si>
  <si>
    <t>Animal; Diaspore is carried intentionally; Method not stated; (Bouman et al. 2000, cited in Kew SID). seeds ingested by waterfowl (Almeida et al. 2022).</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</si>
  <si>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 seeds ingested by waterfowl (Almeida et al. 2022).</t>
  </si>
  <si>
    <t>Wind; Diaspore is blown by wind; Method not stated; Mammals (non-bat).; Also dispersed by animals. Diaspore=achene; the seed has a pappus; achenes attach to fur of animals (Groves, 1996, cited in Kew SID). Seed has an elaiosome (Pemberton &amp; Irving 1990). seeds ingested by waterfowl (Almeida et al. 2022).</t>
  </si>
  <si>
    <t>Snow &amp; Snow 1988; Albert et al. 2015; Green 2016; Almeida et al. 2022</t>
  </si>
  <si>
    <t>England: fruits eaten by blackbird, song thrush, starling &amp; other bird species (Snow &amp; Snow 1988). Seeds dispersal internally by deer (sometimes; Albert et al. 2015); viable seeds germinated from gull and Canada goose faeces (Green 2016). Seeds ingested by waterfowl (Almeida et al. 2022).</t>
  </si>
  <si>
    <t>McEwen 1978; Burrows 1995; Almeida et al. 2022</t>
  </si>
  <si>
    <t>England: blackbird primary disperser, occasionally eaten by song thrush &amp; starling (Snow &amp; Snow 1988). Seeds ingested by waterfowl (Almeida et al. 2022).</t>
  </si>
  <si>
    <t>Gibb 2000; Anderson et al. 2006; Spurr 2011; Almeida et al. 2022</t>
  </si>
  <si>
    <t>Spain: intact seeds in carnivorous mammal faeces (Herrera 1989). Intact seeds found in heron faeces predating lizards (secondary dispersal; Green 2016). Seeds ingested by waterfowl (Almeida et al. 2022).</t>
  </si>
  <si>
    <t>Carroll 1966</t>
  </si>
  <si>
    <t>no structures directly aiding active seed dispersal. Small seeds (0.1-1.0 mg) (Esler 1988). Seeds recorded in pukeko gizzards (Carroll 1966).</t>
  </si>
  <si>
    <t>Carroll 1966; van den Broek et al. 2005; Almeida et al. 2022</t>
  </si>
  <si>
    <t>seeds in pukeko gizzards (Carroll 1966)</t>
  </si>
  <si>
    <t>seeds recorded in pukeko gizzards (Carroll 1966; Marchant &amp; Higgins 1990b).</t>
  </si>
  <si>
    <t>Matlack 1987; Pemberton &amp; Irving 1990; Marchant &amp; Higgins 1990a; Burrows 1995; McIntyre et al. 1995; West 1996; Couvreur et al. 2004; Harrington et al. 2011; Morris et al. 2011; Almeida et al. 2022</t>
  </si>
  <si>
    <t>wind dispersed (Matlack 1987; McIntyre et al. 1995); seeds dispersed attached to cattle fur (Couvreur et al. 2004); seed has an elaiosome (Pemberton &amp; Irving 1990). Seeds caught in seed trap (Morris et al. 2011).  seeds ingested by waterfowl (Almeida et al. 2022). seeds ingested by grey duck in NSW Australia (Marchant &amp; Higgins 1990a).</t>
  </si>
  <si>
    <t>Carroll 1966; Marchant &amp; Higgins 1990b; Couvreur et al. 2004; Albert et al. 2015; Almeida et al. 2022; NZPCN</t>
  </si>
  <si>
    <t>Seed and stem fragments spread within catchment via water flow. Contaminated diggers, livestock, soil movement, dumped vegetation, eel nets boats and trailers all spread seed and rhizomes into new catchments (NZPCN factsheet prepared by Paul Champion and Deborah Hofstra (NIWA)). Seeds ingested by pukeko (Carroll 1966; Marchant &amp; Higgins 1990b).</t>
  </si>
  <si>
    <t>Welch 1985; Marchant &amp; Higgins 1990b; Harrington et al. 2011; Morris et al. 2011; Couvreur et al. 2004; Albert et al. 2015; Almeida et al. 2022</t>
  </si>
  <si>
    <t>seeds fed to goats viable and germinated after defecation (Harrington et al 2011); has no structures directly aiding active seed dispersal and medium-sized seeds (1-10 mg) (Esler 1988). Seeds recorded in pukeko gizzards (Marchant &amp; Higgins 1990b).</t>
  </si>
  <si>
    <t>O'Dowd &amp; Gill 1986; Cronk &amp; Fuller 1995; Higgins et al. 2006</t>
  </si>
  <si>
    <t>seeds in silvereye droppings, Australia (Higgins et al. 2006). Animal; Diaspore is carried intentionally; Direct or experimental observation; Ants.; Diaspore=seed. The seed has an aril or aril-like structure (O'Dowd &amp; Gill 1986); dispersed by wind &amp; water (Cronk &amp; Fuller 1995)</t>
  </si>
  <si>
    <t>whole seeds in silvereye droppings (Higgins et al. 2006)</t>
  </si>
  <si>
    <t>Moncrieff 1928; Hilgendorf &amp; Calder 1967; Wotton 2002; Higgins 2006; Spurr et al. 2011</t>
  </si>
  <si>
    <t>Esler 1988; Fromont &amp; King 1992; van der Pijl 1982, cited in SID; Higgins et al. 2006</t>
  </si>
  <si>
    <t>dispersed by ants (van der Pijl 1982, cited in Kew SID). Seeds in silvereye droppings, Australia (Higgins et al. 2006).</t>
  </si>
  <si>
    <t>Vitis spp. fruits eaten by bellbirds (Spurr et al. 2011). Vitis vinifera fruits eaten by silvereyes (Gibb 2000).</t>
  </si>
  <si>
    <t>Smith 1985; Webb et al. 1988; Esler 1988; Pemberton &amp; Irving 1990; Cronk &amp; Fuller 1995; Atkinson 1997; Higgins et al. 2006; Harrington et al. 2011;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</si>
  <si>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 seeds fed to goats viable and germinated after defecation (Harrington et al. 2011). Seeds in silvereye alimentary canals (Higgins et al. 2006).</t>
  </si>
  <si>
    <t>Vila &amp; D'Antonio 1998; Higgins et al. 2006</t>
  </si>
  <si>
    <t>Seeds dispersed by black-tailed jackrabbit and mule deer (Vila &amp; D'Antonio 1998); fruits eaten by silvereyes in Australia (Higgins et al. 2006).</t>
  </si>
  <si>
    <t>Higgins et al. 2006; Leal et al. 2007; NZPCN</t>
  </si>
  <si>
    <t>seeds dispersed by ants (direct observation) (Leal, I.R., Wirth, R., &amp; Tabarelli, M. 2007. Seed Dispersal by Ants in the Semi-arid Caatinga of North-east Brazil. Annals of Botany, 99:885-894). Fruits eaten by silvereyes in Australia (Higgins et al. 2006).</t>
  </si>
  <si>
    <t>England: most fruits eaten by starling, also eaten by blackbird &amp; song thrush &amp; other birds (Snow &amp; Snow 1988). Fruits eaten by silvereyes in Australia (Higgins et al. 2006).</t>
  </si>
  <si>
    <t>Webb et al. 1988; Burrows 1995; Williams &amp; Karl 1996; Atkinson 1997; Higgins et al. 2006; Spurr et al. 2011</t>
  </si>
  <si>
    <t>O'Dowd &amp; Gill 1986; Pemberton &amp; Irving 1990; Cronk &amp; Fuller 1995; Higgins et al. 2006</t>
  </si>
  <si>
    <t>Animal; Diaspore is eaten intentionally; Direct or experimental observation; Birds.; Meliphaga chrysops; Diaspore=seed. The seed has an aril or aril-like structure (O'Dowd &amp; Gill 1986); dispersed by birds &amp; water (Cronk &amp; Fuller 1995); seed has an elaiosome (Pemberton &amp; Irving 1990). Fruits eaten by silvereyes in Australia (Higgins et al. 2006).</t>
  </si>
  <si>
    <t>Higgins et al. 2006; Guja et al. 2010</t>
  </si>
  <si>
    <t>primary dispersal mechanism is zoochory; seeds survived exposure to seawater for 70 days with minimal or no impact on germination, c. 25% of seeds floated initially but % floating declined fairly quickly - maximum floating time was 10 days (Guja et al. 2010). Fruits eaten by silvereyes in Australia (Higgins et al. 2006).</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</si>
  <si>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 Seeds ingested by silvereyes in Australia (Higgins et al. 2006).</t>
    </r>
  </si>
  <si>
    <t>McEwen 1978; West 1996; Atkinson 1997; Karan 2000; Higgins et al. 2006; Spurr et al. 2011</t>
  </si>
  <si>
    <t>Esler 1988; Fromont &amp; King 1992; Timmins &amp; Mackenzie 1995; Atkinson 1997; Karan 2000; Higgins et al. 2006</t>
  </si>
  <si>
    <r>
      <t>Ligustrum</t>
    </r>
    <r>
      <rPr>
        <sz val="11"/>
        <rFont val="Calibri"/>
        <family val="2"/>
        <scheme val="minor"/>
      </rPr>
      <t xml:space="preserve"> spp. verified as vertebrate-dispersed (Meisenburg &amp; Fox 2002); Bergquist 1987. Fruits eaten by silvereyes in Australia (Higgins et al. 2006).</t>
    </r>
  </si>
  <si>
    <t>Esler 1988; Timmins &amp; Mackenzie 1995; Higgins et al. 2006; Rouco &amp; Norbury 2013; NZPCN</t>
  </si>
  <si>
    <t>dispersed by birds (Esler 1988); seeds in possum droppings (Rouco &amp; Norbury 2013). The plant has a high seed output which is dispersed by birds and domestic stock (NZPCN). Fruits eaten by silvereyes in Australia (Higgins et al. 2006).</t>
  </si>
  <si>
    <t>Marchant &amp; Higgins 1990b; Fromont &amp; King 1992; Timmins &amp; Mackenzie 1995; Atkinson 1997; Higgins et al. 2006</t>
  </si>
  <si>
    <t>starlings main disperser of seeds to islands (Cox et al. 1967, cited in Atkinson 1997).</t>
  </si>
  <si>
    <t>Banded rail recorded feeding on fruits and seeds in Australia (Marchant &amp; Higgins 1990b). Fruits eaten by silvereyes in Australia (Higgins et al. 2006).</t>
  </si>
  <si>
    <t>Esler 1988; Fromont &amp; King 1992; Timmins &amp; Mackenzie 1995; Atkinson 1997; Higgins et al. 2006</t>
  </si>
  <si>
    <t>Fruits eaten by silvereyes in Australia (Higgins et al. 2006).</t>
  </si>
  <si>
    <t>Webb et al. 1988; Fromont &amp; King 1992; Cronk &amp; Fuller 1995; Meisenburg &amp; Fox 2002; Higgins et al. 2006; Green 2016</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</si>
  <si>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2016). Fruits eaten by silvereyes in Australia (Higgins et al. 2006).</t>
    </r>
  </si>
  <si>
    <t>bird dispersed (Burrows 1995). Silvereyes feed on fruit (Higgins et al. 2006).</t>
  </si>
  <si>
    <t>Timmins &amp; Mackenzie 1995; Burrows 1995; Higgins et al. 2006</t>
  </si>
  <si>
    <t>Sullivan &amp; Williams 2002; Logan &amp; Xu 2006; Higgins et al. 2006</t>
  </si>
  <si>
    <t>Silvereye flocks commonly feed on both wild &amp; orchard fruits; Rats also feed on fallen fruit; Reject fruits commonly fed to stock including deer, suggesting feral deer will feed on fallen fruit &amp; disperse seeds (Sullivan &amp; Williams 2002). Silvereyes feed on fruits (Higgins et al. 2006).</t>
  </si>
  <si>
    <t>Webb et al. 1988; Burrows 1995; Williams &amp; Karl 1996; Higgins et al. 2006</t>
  </si>
  <si>
    <t>Fruits are bird-dispersed and, as a result, seedlings often appear spontaneously within gardens (Webb et al. 1988). Seeds dispersed by silvereyes (Williams &amp; Karl 1996; Henderson unpubl. data). Bird dispersed (Burrows 1995). Fruits eaten by silvereyes (Higgins et al. 2006).</t>
  </si>
  <si>
    <t>Webb et al. 1988; Higgins et al. 2006; Spurr et al. 2011</t>
  </si>
  <si>
    <t>has probably become naturalised by spread of bird-dispersed fruits from garden plants (Webb et al. 1988); fruit eaten by bellbirds (Spurr et al. 2011). Fruits eaten by silvereyes (Higgins et al. 2006).</t>
  </si>
  <si>
    <t>Webb et al. 1988; Pemberton &amp; Irving 1990; Higgins et al. 2006; NZPCN</t>
  </si>
  <si>
    <t>explosively dehiscent pod (Webb et al. 1988); seeds ingested by silvereyes (Higgins et al. 2006). Dispersed by water and moving gravel (NZPCN)</t>
  </si>
  <si>
    <t>Higgins et al. 2006</t>
  </si>
  <si>
    <t>fruits eaten by silvereyes (Higgins et al. 2006)</t>
  </si>
  <si>
    <t>Webb et al. 1988; Williams &amp; Karl 1996; Higgins et al. 2006</t>
  </si>
  <si>
    <t>seeds ingested by waterfowl in North America (Almeida et al. 2025)</t>
  </si>
  <si>
    <t>Esler 1988; Webb et al. 1988; Green 2016; Almeida et al. 2025; NZPCN</t>
  </si>
  <si>
    <t>Sims-Chilton &amp; Panetta 2011; Almeida et al. 2025</t>
  </si>
  <si>
    <t>seeds are attached to a pappus and are readily dispersed by wind and water (Sims-Chilton &amp; Panetta 2011). Seeds ingested by waterfowl in Noth America (Almeida et al. 2025).</t>
  </si>
  <si>
    <t>Almeida et al. 2025; NZPCN</t>
  </si>
  <si>
    <t>viable seeds found after passage through gut of wild waterfowl (Costea et al. 2016); viable seeds found in sheep and goat faeces after feeding trials (Oveisi et al. 2020); viable seeds found in Persian fallow deer faeces (Zidon et al. 2016). Seeds ingested by waterfowl in North America (Almeida et al 2025).</t>
  </si>
  <si>
    <t>Costea et al. 2016; Oveisi et al. 2020; Zidon et al. 2016; Almeida et al. 2025; DOC: https://www.doc.govt.nz/contentassets/fcebada855be443a89ba27f28b352140/factsheet-golden-dodder.pdf, accessed 14 April 2023.</t>
  </si>
  <si>
    <t>Wind; Diaspore is blown by wind; Assumption based upon diaspore morphology; (McIntyre et al. 1995). Unassisted; Seeds drop to the ground close to or beneath the parent plant; Assumption based upon diaspore morphology; (Jurado et al., 1991); seeds dispersed internally by deer (sometimes; Albert et al. 2015); seeds germinated from sheep faeces (Eichberg et al. 2007). seeds dispersed by birds in nesting material (Dean et al. 1990).  seeds ingested by waterfowl (Almeida et al. 2022. 2025).</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</si>
  <si>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  seeds ingested by waterfowl in Europe (Almeida et al. 2022) and North America (Almeida et al. 2025).</t>
  </si>
  <si>
    <t>Marchant &amp; Higgins 1990a; Kehr et al 2014; Almeida et al. 2022, 2025</t>
  </si>
  <si>
    <t>dispersed by hydrochory, viable seeds sampled from water (Kehr et al 2014). Ludwigia sp.: Water?; Assumption based upon diaspore morphology; (Foster et al., 1986, cited in Kew SID); one non-viable seed recovered from teal faeces (Reynolds et al. 2015).  seeds ingested by waterfowl in Europe (Almeida et al. 2022) and North America (Almeida et al. 2025). seeds in grey teal gizzard and grey duck in NSW Australia (Marchant &amp; Higgins 1990a).</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</si>
  <si>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  seeds ingested by waterfowl in Europe (Almeida et al. 2022) and North America (Almeida et al. 2025).</t>
  </si>
  <si>
    <t>Bonilla-Barbosa et al. 2000; Almeida et al. 2025</t>
  </si>
  <si>
    <t>the presence of mucilage and stored gas bubbles in the aril tissue it is believed that aril aids in seed flotation and dispersal (Bonilla-Barbosa et al. 2000). Seeds ingested by waterfowl in North America (Almeida et al. 2025).</t>
  </si>
  <si>
    <t>Non-viable seeds recovered from waterfowl (teal) faeces, species also included in diet of waterfowl (incl. mallards) (Reynolds et al. 2015); seeds in geese droppings germinated (Middleton et al. 1991); Paspalum sp. dispersed by water birds via ectozoochory (Reynolds &amp; Cumming 2016). seeds ingested by waterfowl in Europe (Almeida et al. 2022) and North America (Almeida et al. 2025).</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</si>
  <si>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 seeds ingested by waterfowl in Europe (Almeida et al. 2022) and North America (Almeida et al. 2025).</t>
  </si>
  <si>
    <t xml:space="preserve">wind dispersed (Cook 1987, cited in Kew SID); P. australis: Combination: water+wind+animal; Method not stated; (Bouman et al., 2000, cited in Kew SID). P. australis:  seeds ingested by waterfowl in Europe (Almeida et al. 2022) and North America (Almeida et al. 2025). </t>
  </si>
  <si>
    <t>West 1996; Atkinson 1997; Anderson et al. 2006; Almeida et al. 2025</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</si>
  <si>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 Seeds ingested by waterfowl in North America (Almeida et al. 2025).</t>
    </r>
  </si>
  <si>
    <t>Welch 1985; Albert et al. 2015; Almeida et al. 2022, 2025</t>
  </si>
  <si>
    <t>short distance wind dispersal; endochorous, hard seed coat, without pulp (Rosenthal 2006); seeds dispersal internally by deer (Albert et al. 2015). Seeds germinated from cattle, red deer, sheep, hare, rabbit and red grouse dung (Welch 1985). seeds ingested by waterfowl in Europe (Almeida et al. 2022) and North America (Almeida et al. 2025).</t>
  </si>
  <si>
    <t>Seeds ingested by waterfowl in North America (Almeida et al. 2025).</t>
  </si>
  <si>
    <t>Almeida et al. 2022, 2025</t>
  </si>
  <si>
    <t>seeds ingested by waterfowl in Europe (Almeida et al. 2022) and North America (Almeida et al. 2025).</t>
  </si>
  <si>
    <t>syndrome1</t>
  </si>
  <si>
    <t>syndrome2</t>
  </si>
  <si>
    <t>winged nut, retain viability in water for long periods</t>
  </si>
  <si>
    <t>Acacia spp. have no structures directly aiding active seed dispersal and large seeds (&gt;10 mg) (Esler 1988); ballistic dispersal (Timmins &amp; Mackenzie 1995) - but no evidence for this in its morphology so not included.</t>
  </si>
  <si>
    <t>Diaspore is blown by wind; Direct or experimental observation (Young, J.A. and Young, C.G. 1992. Seeds of Woody Plants in North America. Dioscorides Press, Oregon, Portland. Cited in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  seeds ingested by waterfowl (Almeida et al. 2022).</t>
  </si>
  <si>
    <r>
      <t xml:space="preserve">Capitual is desseminal due to hooked involucral bracts and ready detachment of mature head (Esler 1988). Dispersed by wind, water, people (NZPCN); Artium species have hooked tips on the stiff recurved involucral bracts thyat serve in dispersal of capitula at fruiting (Webb et al. 1988). </t>
    </r>
    <r>
      <rPr>
        <i/>
        <sz val="11"/>
        <rFont val="Calibri"/>
        <family val="2"/>
        <scheme val="minor"/>
      </rPr>
      <t>Arctium lappa</t>
    </r>
    <r>
      <rPr>
        <sz val="11"/>
        <rFont val="Calibri"/>
        <family val="2"/>
        <scheme val="minor"/>
      </rPr>
      <t xml:space="preserve"> has adhesion mechanisms and is found in sheeps fleece (Webb et al. 1988).</t>
    </r>
  </si>
  <si>
    <t>Cronk &amp; Fuller 1995; Eichberg et al. 2007; Albert et al. 2015; Rutledge &amp; McLendon sine anno</t>
  </si>
  <si>
    <t>Animal; Diaspore is carried accidentally; Method not stated; (Rutledge &amp; McLendon, sine anno), Mammals (non-bat) Rutledge, C.R. and T. McLendon. sine anno. An Assessment of Exotic Plant Species of Rocky Mountain National Park. Department of Rangeland Ecosystem Science, Colorado State University. Online. Available: http://www.npwrc.usgs.gov/resource/plants/explant/index.htm). 29/10/07; Also dispersed by wind (SID). wind dispersed (Cronk &amp; Fuller 1995); seeds are dispersed in deer fur (always; Albert et al. 2015); seeds germinated from sheep faeces (Eichberg et al. 2007)</t>
  </si>
  <si>
    <t>Timmins &amp; Mckenzie 1995; Tallent-Halsell &amp; Watt 2009</t>
  </si>
  <si>
    <t>wind dispersed but no special adaptations, measured dispersal distances using seed traps around isolated plants (Bullock &amp; Clarke 2000); seeds dispersed by deer internally (sometimes) and in fur and on hooves (sometimes; Albert et al. 2015); seeds attached to experimental sheep and cattle dummies (Mouissie et al. 2005). seeds germinated from cattle, red deer, hare and red grouse dung (Welch 1985).  seeds ingested by waterfowl (Almeida et al. 2022).</t>
  </si>
  <si>
    <t>hydrochorous - air-filled vesicle; dysochorous, lost food (Rosenthal 2006)</t>
  </si>
  <si>
    <r>
      <t>"Fruits lack characters assisting dispersal, most falling close to the parent plants: longer distance dispersal sometimes occurs when fruit is carried on animal coats, in mud in hooves, by run-off water on slopes, or in drains and streams" (Healy &amp; Edgar 1980).</t>
    </r>
    <r>
      <rPr>
        <i/>
        <sz val="11"/>
        <rFont val="Calibri"/>
        <family val="2"/>
        <scheme val="minor"/>
      </rPr>
      <t/>
    </r>
  </si>
  <si>
    <t>Seed dispersed by contaminated machinery or waterfowl (NZPCN factsheet prepared by prepared by Paul Champion and Deborah Hofstra (NIWA)). Seeds recorded in pukeko gizzards (Carroll 1966).</t>
  </si>
  <si>
    <t>Seed dispersed by contaminated machinery or waterfowl (NZPCN, factsheet prepared by Paul Champion and Deborah Hofstra (NIWA)) (DMW: could be attachment or internal, but assumed internal as more likely).</t>
  </si>
  <si>
    <t>Cenchrus purpurascens; Pennisetum alopecuroides</t>
  </si>
  <si>
    <t>Pennisetum alopecuroides (synonym) dispersed by attachment and wind, based on morphology (McIntyre et al. 1995); C. purpurascens (synonym): small barbs along the bristles of the floret (Figure 3) that might aid in the attachment of the propagule to animal vectors;  occasional long-distance gene flow via seeds, possibly attached to migratory shore birds (Toon et al. 2018)</t>
  </si>
  <si>
    <t>dispersal based on morphology</t>
  </si>
  <si>
    <t>Toon et al. 2018; NZPCN</t>
  </si>
  <si>
    <t>Esler 1988; Dean et al. 1990; Eichberg et al. 2007; Albert et al. 2015; Jurado et al. 1991; Almeida et al. 2022, 2025</t>
  </si>
  <si>
    <t>Seeds found in water bird droppings (Reynolds &amp; Cumming 2016); undefined seed dispersal morphology (McIntyre et al. 1995)</t>
  </si>
  <si>
    <t>McIntyre et al. 1995; Reynolds &amp; Cumming 2016</t>
  </si>
  <si>
    <t>Esler 1988; Welch 1985; Timmins &amp; Mackenzie 1995; Couvreur et al. 2004; Bartuszevige &amp; Endress 2008; Albert et al. 2015; Almeida et al. 2022; SID</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</si>
  <si>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 plus the fruits are toxic, and capsules split open when ripe); Vertebrates (unspecified).; Diaspore=fruit. Fruits are fleshy. 2. Wind; Diaspore is propelled by action of wind on the plant structure; Direct or experimental observation; (Ridley, 1930, cited in Kew SID); Diaspore=seed.</t>
  </si>
  <si>
    <t>winged seeds dispersed by wind and gravity (NZPCN)</t>
  </si>
  <si>
    <t>Soomers et al. 2013; Albert et al. 2015; Almeida et al. 2022; NZPCN</t>
  </si>
  <si>
    <t>seeds dispersed internally by deer (Albert et al. 2015); wind dispersed, moderate floating potential (Soomers et al. 2013); Seeds have white tufts of hair that aid in their dispersal by wind (https://plants.ces.ncsu.edu/plants/epilobium-hirsutum/, 21/6/2022). seeds ingested by waterfowl (Almeida et al. 2022).</t>
  </si>
  <si>
    <t>Can be dispersed short distances by wind (NZPCN)</t>
  </si>
  <si>
    <t>McIntyre et al. 1995; NZPCN</t>
  </si>
  <si>
    <t>Undefined seed dispersal morphology (McIntyre et al. 1995)</t>
  </si>
  <si>
    <t>Atkinson 1997</t>
  </si>
  <si>
    <r>
      <t xml:space="preserve">Dispersed by gravity and humans (Atkinson 1997); see info for </t>
    </r>
    <r>
      <rPr>
        <i/>
        <sz val="11"/>
        <rFont val="Calibri"/>
        <family val="2"/>
        <scheme val="minor"/>
      </rPr>
      <t>Erica lusitanica</t>
    </r>
  </si>
  <si>
    <t>Although the seeds bear no specialised structures they are wind-dispersed; measured dispersal distances using seed traps around isolated plants (Bullock &amp; Clarke 2000). seeds dispersed by deer internally (sometimes) and attached to fur (always) and hooves (sometimes; Albert et al. 2015).</t>
  </si>
  <si>
    <t>Esler 1988; Bullock &amp; Clarke 2000; Albert et al. 2015</t>
  </si>
  <si>
    <t>Esler 1988; Mather &amp; Williams 1990; Cronk &amp; Fuller 1995</t>
  </si>
  <si>
    <t>reproduces from seed and rhizome fragments. Dispersal by water movement and dumped soil (NZPCN website, accessed 13 April 2023, Factsheet prepared by Paul Champion and Deborah Hofstra (NIWA))</t>
  </si>
  <si>
    <t>Unassisted and/or methods originating from parent plant; Method not stated; (Keeley 1991, cited in SID)</t>
  </si>
  <si>
    <t>SID</t>
  </si>
  <si>
    <t>Matlack 1987; Couvreur et al. 2004; Albert et al. 2015; Almeida et al. 2022; NZPCN</t>
  </si>
  <si>
    <t>Spurr et al. 2011; SID</t>
  </si>
  <si>
    <t>seeds found in mallard crop (Simpson 1971); NZPCN Factsheet prepared by Paul Champion and Deborah Hofstra (NIWA): Seed and vegetative fragment spread by water movement. Seed is produced but is probably not viable for more than one season.</t>
  </si>
  <si>
    <t>Simpson 1971; Almeida et al. 2022; NZPCN</t>
  </si>
  <si>
    <t>Couvreur et al. 2004; Albert et al. 2015; Almeida et al. 2022, 2025; Rutledge &amp; McLendon sine anno; NZPCN</t>
  </si>
  <si>
    <t>Coops &amp; van der Velde 1995; van den Broek et al. 2005; Almeida et al. 2022; NZPCN</t>
  </si>
  <si>
    <t>Esler 1988; Tamura 2001; Weedbusters https://www.weedbusters.org.nz/what-are-weeds/weed-list/japanese-walnut/</t>
  </si>
  <si>
    <t>Welch 1985; Esler 1988; Couvreur et al. 2004; Rosenthal 2006; Albert et al. 2015; Almeida et al. 2022; NZPCN</t>
  </si>
  <si>
    <t>Mainly spread by inappropriate coastal plantings, careless discard of garden clippings and down water courses near which it has been planted. The seeds are enclosed in somewhat buoyant pods (NZPCN).</t>
  </si>
  <si>
    <t>Wind; Diaspore is blown by wind; Method not stated; (Young &amp; Young, 1992, cited in SID); Diaspore=seed. The diaspore has wings or wing-like features.</t>
  </si>
  <si>
    <t>Timmins &amp; Mackenzie 1995; SID</t>
  </si>
  <si>
    <t>McIntyre et al. 1995; Clements et al. 2004; Rosenthal 2006; Albert et al. 2015; Green 2016; McDougall et al. 2018</t>
  </si>
  <si>
    <t>Couvreur et al. 2004; van den Broek et al. 2005; Rosenthal 2006; Albert et al. 2015; Almeida et al. 2022; NZPCN</t>
  </si>
  <si>
    <t>Couvreur et al. 2004; Albert et al. 2015; Almeida et al. 2022; Rutledge &amp; McLendon, sine anno</t>
  </si>
  <si>
    <t>Lammerink 1968; Dunbier 1972; Turkington &amp; Cavers 1979; McIntyre et al. 1995; Bartuszevige &amp; Endress 2008; Albert et al. 2015; Almeida et al. 2022, 2025</t>
  </si>
  <si>
    <t>Simpson 1971; Fromont &amp; King 1992; Burrows 1994; SID</t>
  </si>
  <si>
    <t>van Kleunen et al. 2008; NZPCN</t>
  </si>
  <si>
    <t>Esler 1988; Middleton et al. 1991; Almeida et al. 2022, 2025; NZPCN</t>
  </si>
  <si>
    <t>Coops &amp; van der Velde 1995; Couvreur et al. 2004; Almeida et al. 2022, 2025; SID</t>
  </si>
  <si>
    <t>Almeida et al. 2022, 2025; SID</t>
  </si>
  <si>
    <t>"dispersal based on morphology" noted where dispersal syndrome categorised by DW when no information available in published literature. e.g. pappus or winged seed = wind, no adaptations = unspecialised, seed buoyant or has air filled vesicles = water</t>
  </si>
  <si>
    <t>Esler 1988; Timmins &amp; Mackenzie 1995; Atkinson 1997; SID</t>
  </si>
  <si>
    <t>Timmins &amp; Mackenzie 1995; Wyse &amp; Hulme 2021; SID</t>
  </si>
  <si>
    <t>Ledgard 2002; SID</t>
  </si>
  <si>
    <t>Camarero et al. 2005; Wyse &amp; Hulme 2021; SID</t>
  </si>
  <si>
    <t>could be either internal or attachment, assigned to attachment</t>
  </si>
  <si>
    <t>Wyse &amp; Hulme 2021; SID</t>
  </si>
  <si>
    <t>Timmins &amp; Mackenzie 1995; Atkinson 1997; Wyse &amp; Hulme 2021; SID</t>
  </si>
  <si>
    <t>Timmins &amp; Mackenzie 1995; Cronk &amp; Fuller 1995; Atkinson 1997; Wyse &amp; Hulme 2021; SID</t>
  </si>
  <si>
    <t>Albert et al. 2015; Wyse &amp; Hulme 2021; SID</t>
  </si>
  <si>
    <t>Esler 1988; Stirton et al. 2015</t>
  </si>
  <si>
    <t>Boyda 2013; Aurambout &amp; Endress 2018</t>
  </si>
  <si>
    <t>Berg 1975; O'Dowd &amp; Gill 1986</t>
  </si>
  <si>
    <t>Almeida et al. 2022; SID</t>
  </si>
  <si>
    <t>Cronk &amp; Fuller 1995; Stephenson et al. 2007; Harris et al. 2009; SID</t>
  </si>
  <si>
    <t>Esler 1988; Morimoto et al. 2010; SID</t>
  </si>
  <si>
    <t>Esler 1988; SID, NZPCN</t>
  </si>
  <si>
    <t>Esler 1988; Rosenthal 2006; Eichberg et al. 2007; Albert et al. 2015; Almeida et al. 2022; SID</t>
  </si>
  <si>
    <t>Pemberton &amp; Irving 1990; Harrington et al. 2011; Almeida et al. 2022; SID; NZPCN</t>
  </si>
  <si>
    <t>Carroll 1966; Marchant &amp; Higgins 1990b; Couvreur et al. 2004; Albert et al. 2015; Green 2016; Warren et al. 2017; Almeida et al. 2022, 2025; Rutledge &amp; McLendon sine anno</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</si>
  <si>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2016). Unspecialised seed dispersal morphology (McIntyre et al. 1995). seeds ingested by waterfowl in Europe (Almeida et al. 2022) and North America (Almeida et al. 2025). Dispersed in bird nesting material (Warren et al. 2017)</t>
  </si>
  <si>
    <t>Warren et al. 2017; Almeida et al. 2025; SID; NZPCN</t>
  </si>
  <si>
    <t>Wind; Diaspore is blown by wind; Direct or experimental observation; (Farmer, 1997, cited in Kew SID); Diaspore=seed. The diaspore has wings or wing-like features; Pinus sp. dispersed by water birds via ectozoochory (Reynolds &amp; Cumming 2016). Seeds ingested by waterfowl in North America (Almeida et al. 2025). Dispersed in bird nesting material (Warren et al. 2017).</t>
  </si>
  <si>
    <t>Warren et al. 2017</t>
  </si>
  <si>
    <t>Schedonorus arundinaceus (synonym) dispersed in bird nesting material (Warren et al. 2017).</t>
  </si>
  <si>
    <t>Carroll 1966; Welch 1985; Esler 1988; McIntyre et al. 1995; Couvreur et al. 2004; van den Broek et al. 2005; Mouissie et al. 2005; Morris et al. 2011; Albert et al. 2015; Warren et al. 2017; Flaherty et al. 2018; Almeida et al. 2022; SID</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</si>
  <si>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 seeds germinated from cattle dung (Welch 1985). seeds caught in seed trap (Morris et al. 2011).  seeds ingested by waterfowl (Almeida et al. 2022). Dispersed in bird nesting material (Warren et al. 2017).</t>
  </si>
  <si>
    <t>Esler 1988; Couvreur et al. 2004; Kehr et al. 2014; Warren et al. 2017; NZPCN; Almeida et al. 2022, 2025</t>
  </si>
  <si>
    <t>B. frondosa dispersed by hydrochory, sampled in river (Kehr et al. 2014); seeds dispersed attached to cattle and donkey fur (Couvreur et al. 2004); seeds ingested by waterfowl in Europe (Almeida et al. 2022) and North America (Almeida et al. 2025). Dispersed in bird nesting material (Warren et al. 2017).</t>
  </si>
  <si>
    <t>Smith 1985; Gross &amp; Werner 1978; Gross 1980; Warren et al. 2017</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</si>
  <si>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 Seeds dispersed in bird nesting material (Warren et al. 2017).</t>
  </si>
  <si>
    <t>Warren et al. 2017; Almeida et al. 2025; NZPCN</t>
  </si>
  <si>
    <t>seeds ingested by waterfowl in North America (Almeida et al. 2025). Seeds dispersed in bird nesting material (Warren et al. 2017).</t>
  </si>
  <si>
    <t>Rice &amp; Westoby 1981; O'Dowd &amp; Gill 1986; Pemberton &amp; Irving 1990; Higgins et al. 2006; Marchante et al. 2010; Smart et al. 2023;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</si>
  <si>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(synonym, O'Dowd &amp; Gill 1986): Animal; Diaspore is carried or eaten intentionally depending upon the species of disperser; Direct or experimental observation; Ants+birds.; Rhytidoponera metallica; Meliphaga chrysops; Meliphaga virescens; Diaspore=seed; The seed has an aril or aril-like structure. Fruits eaten by silvereyes in Australia (as A. sophorae, Higgins et al. 2006). myrmecochorous (Rice &amp; Westoby 1981)</t>
    </r>
  </si>
  <si>
    <t>myrmecochorous (Berg 1975). myrmecochorous (Rice &amp; Westoby 1981, probably based on Berg 1975)</t>
  </si>
  <si>
    <t>Ashton 1979; Rice &amp; Westoby 1981</t>
  </si>
  <si>
    <t>Seed of Pomaderris aspera was found in one artificial ant nest (Ashton 1979). Myrmecochorous (Rice &amp; Westoby 1981).</t>
  </si>
  <si>
    <t>Caulerpa brachypus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</si>
</sst>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xf numFmtId="0" fontId="0" fillId="0" borderId="0" xfId="0" applyFont="1"/>
    <xf numFmtId="0" fontId="3"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87"/>
  <sheetViews>
    <sheetView tabSelected="1" zoomScaleNormal="100" workbookViewId="0">
      <pane xSplit="4" ySplit="11" topLeftCell="E176" activePane="bottomRight" state="frozen"/>
      <selection pane="topRight" activeCell="E1" sqref="E1"/>
      <selection pane="bottomLeft" activeCell="A12" sqref="A12"/>
      <selection pane="bottomRight" activeCell="E189" sqref="E189"/>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6" width="12" style="4" customWidth="1"/>
    <col min="17" max="18" width="11.81640625" style="4" customWidth="1"/>
    <col min="19" max="19" width="12.453125" style="4" customWidth="1"/>
    <col min="20" max="20" width="11.7265625" style="4" customWidth="1"/>
    <col min="21" max="21" width="12.1796875" style="4" customWidth="1"/>
    <col min="22" max="27" width="8.7265625" style="4"/>
    <col min="28" max="28" width="10.54296875" style="4" customWidth="1"/>
    <col min="29" max="30" width="11.54296875" style="4" bestFit="1" customWidth="1"/>
  </cols>
  <sheetData>
    <row r="1" spans="1:30" x14ac:dyDescent="0.35">
      <c r="A1" s="18" t="s">
        <v>0</v>
      </c>
      <c r="B1" s="9" t="s">
        <v>1</v>
      </c>
      <c r="C1" s="9" t="s">
        <v>2</v>
      </c>
      <c r="D1" s="9" t="s">
        <v>3</v>
      </c>
      <c r="E1" s="9" t="s">
        <v>4</v>
      </c>
      <c r="F1" s="9" t="s">
        <v>2284</v>
      </c>
      <c r="G1" s="9" t="s">
        <v>5</v>
      </c>
      <c r="H1" s="9" t="s">
        <v>6</v>
      </c>
      <c r="I1" s="9" t="s">
        <v>7</v>
      </c>
      <c r="J1" s="9" t="s">
        <v>8</v>
      </c>
      <c r="K1" s="9" t="s">
        <v>9</v>
      </c>
      <c r="L1" s="9" t="s">
        <v>10</v>
      </c>
      <c r="M1" s="9" t="s">
        <v>11</v>
      </c>
      <c r="N1" s="9" t="s">
        <v>12</v>
      </c>
      <c r="O1" s="9" t="s">
        <v>2550</v>
      </c>
      <c r="P1" s="9" t="s">
        <v>2551</v>
      </c>
      <c r="Q1" s="9" t="s">
        <v>13</v>
      </c>
      <c r="R1" s="9" t="s">
        <v>14</v>
      </c>
      <c r="S1" s="9" t="s">
        <v>15</v>
      </c>
      <c r="T1" s="9" t="s">
        <v>16</v>
      </c>
      <c r="U1" s="9" t="s">
        <v>17</v>
      </c>
      <c r="V1" s="9" t="s">
        <v>18</v>
      </c>
      <c r="W1" s="9" t="s">
        <v>19</v>
      </c>
      <c r="X1" s="9" t="s">
        <v>20</v>
      </c>
      <c r="Y1" s="9" t="s">
        <v>21</v>
      </c>
      <c r="Z1" s="9" t="s">
        <v>22</v>
      </c>
      <c r="AA1" s="9" t="s">
        <v>23</v>
      </c>
      <c r="AB1" s="9" t="s">
        <v>24</v>
      </c>
      <c r="AC1" s="9" t="s">
        <v>25</v>
      </c>
      <c r="AD1" s="9" t="s">
        <v>26</v>
      </c>
    </row>
    <row r="2" spans="1:30" x14ac:dyDescent="0.35">
      <c r="A2" s="7" t="s">
        <v>27</v>
      </c>
      <c r="B2" s="4" t="s">
        <v>28</v>
      </c>
      <c r="D2" s="4" t="s">
        <v>29</v>
      </c>
      <c r="E2" s="4" t="s">
        <v>2287</v>
      </c>
      <c r="F2" s="4" t="s">
        <v>30</v>
      </c>
      <c r="G2" s="4" t="s">
        <v>73</v>
      </c>
      <c r="H2" s="4">
        <v>10</v>
      </c>
      <c r="I2" s="4" t="s">
        <v>31</v>
      </c>
      <c r="K2" s="4" t="s">
        <v>32</v>
      </c>
      <c r="L2" s="4" t="s">
        <v>33</v>
      </c>
      <c r="M2" s="4" t="s">
        <v>34</v>
      </c>
      <c r="N2" s="4">
        <f>21.81/1000</f>
        <v>2.181E-2</v>
      </c>
      <c r="O2" s="4" t="s">
        <v>35</v>
      </c>
      <c r="Q2" s="4" t="s">
        <v>35</v>
      </c>
      <c r="R2" s="4" t="s">
        <v>2071</v>
      </c>
      <c r="W2" s="4" t="s">
        <v>2345</v>
      </c>
      <c r="X2" s="4" t="s">
        <v>36</v>
      </c>
      <c r="Y2" s="4" t="s">
        <v>2346</v>
      </c>
      <c r="AB2" s="6">
        <v>44714</v>
      </c>
      <c r="AC2" s="6">
        <v>45092</v>
      </c>
      <c r="AD2" s="6">
        <v>44731</v>
      </c>
    </row>
    <row r="3" spans="1:30" x14ac:dyDescent="0.35">
      <c r="A3" s="7" t="s">
        <v>37</v>
      </c>
      <c r="B3" s="4" t="s">
        <v>38</v>
      </c>
      <c r="C3" s="4" t="s">
        <v>39</v>
      </c>
      <c r="D3" s="4" t="s">
        <v>40</v>
      </c>
      <c r="E3" s="4" t="s">
        <v>41</v>
      </c>
      <c r="F3" s="4" t="s">
        <v>30</v>
      </c>
      <c r="G3" s="4" t="s">
        <v>100</v>
      </c>
      <c r="H3" s="4">
        <v>30</v>
      </c>
      <c r="I3" s="4" t="s">
        <v>42</v>
      </c>
      <c r="J3" s="4" t="s">
        <v>8</v>
      </c>
      <c r="K3" s="4" t="s">
        <v>32</v>
      </c>
      <c r="L3" s="4" t="s">
        <v>33</v>
      </c>
      <c r="M3" s="4" t="s">
        <v>43</v>
      </c>
      <c r="N3" s="4">
        <f>12.68/1000</f>
        <v>1.268E-2</v>
      </c>
      <c r="O3" s="4" t="s">
        <v>35</v>
      </c>
      <c r="Q3" s="4" t="s">
        <v>35</v>
      </c>
      <c r="R3" s="4" t="s">
        <v>52</v>
      </c>
      <c r="S3" s="4" t="s">
        <v>2071</v>
      </c>
      <c r="T3" s="4" t="s">
        <v>44</v>
      </c>
      <c r="W3" s="4" t="s">
        <v>2481</v>
      </c>
      <c r="X3" s="4" t="s">
        <v>2553</v>
      </c>
      <c r="Y3" s="4" t="s">
        <v>2482</v>
      </c>
      <c r="AB3" s="6">
        <v>45092</v>
      </c>
      <c r="AC3" s="6">
        <v>45092</v>
      </c>
      <c r="AD3" s="6">
        <v>45092</v>
      </c>
    </row>
    <row r="4" spans="1:30" x14ac:dyDescent="0.35">
      <c r="A4" s="7" t="s">
        <v>45</v>
      </c>
      <c r="B4" s="4" t="s">
        <v>46</v>
      </c>
      <c r="C4" s="4" t="s">
        <v>47</v>
      </c>
      <c r="D4" s="4" t="s">
        <v>48</v>
      </c>
      <c r="E4" s="4" t="s">
        <v>49</v>
      </c>
      <c r="F4" s="4" t="s">
        <v>30</v>
      </c>
      <c r="G4" s="4" t="s">
        <v>73</v>
      </c>
      <c r="H4" s="4">
        <v>10</v>
      </c>
      <c r="I4" s="4" t="s">
        <v>50</v>
      </c>
      <c r="J4" s="4" t="s">
        <v>8</v>
      </c>
      <c r="K4" s="4" t="s">
        <v>32</v>
      </c>
      <c r="L4" s="4" t="s">
        <v>33</v>
      </c>
      <c r="M4" s="4" t="s">
        <v>51</v>
      </c>
      <c r="N4" s="4">
        <f>14.86/1000</f>
        <v>1.486E-2</v>
      </c>
      <c r="O4" s="4" t="s">
        <v>35</v>
      </c>
      <c r="Q4" s="4" t="s">
        <v>35</v>
      </c>
      <c r="R4" s="4" t="s">
        <v>52</v>
      </c>
      <c r="S4" s="4" t="s">
        <v>2071</v>
      </c>
      <c r="W4" s="4" t="s">
        <v>2640</v>
      </c>
      <c r="X4" s="4" t="s">
        <v>53</v>
      </c>
      <c r="Y4" s="4" t="s">
        <v>2641</v>
      </c>
      <c r="AB4" s="6">
        <v>45092</v>
      </c>
      <c r="AC4" s="6">
        <v>45092</v>
      </c>
      <c r="AD4" s="6">
        <v>45092</v>
      </c>
    </row>
    <row r="5" spans="1:30" x14ac:dyDescent="0.35">
      <c r="A5" s="7" t="s">
        <v>54</v>
      </c>
      <c r="B5" s="4" t="s">
        <v>55</v>
      </c>
      <c r="C5" s="4" t="s">
        <v>56</v>
      </c>
      <c r="D5" s="4" t="s">
        <v>57</v>
      </c>
      <c r="E5" s="4" t="s">
        <v>2288</v>
      </c>
      <c r="F5" s="4" t="s">
        <v>30</v>
      </c>
      <c r="G5" s="4" t="s">
        <v>100</v>
      </c>
      <c r="H5" s="4">
        <v>10</v>
      </c>
      <c r="I5" s="4" t="s">
        <v>58</v>
      </c>
      <c r="J5" s="4" t="s">
        <v>8</v>
      </c>
      <c r="K5" s="4" t="s">
        <v>32</v>
      </c>
      <c r="L5" s="4" t="s">
        <v>33</v>
      </c>
      <c r="M5" s="4" t="s">
        <v>43</v>
      </c>
      <c r="N5" s="4">
        <f>13.25/1000</f>
        <v>1.325E-2</v>
      </c>
      <c r="O5" s="4" t="s">
        <v>35</v>
      </c>
      <c r="Q5" s="4" t="s">
        <v>35</v>
      </c>
      <c r="R5" s="4" t="s">
        <v>2071</v>
      </c>
      <c r="S5" s="4" t="s">
        <v>52</v>
      </c>
      <c r="T5" s="4" t="s">
        <v>44</v>
      </c>
      <c r="W5" s="4" t="s">
        <v>2344</v>
      </c>
      <c r="X5" s="4" t="s">
        <v>59</v>
      </c>
      <c r="Y5" s="4" t="s">
        <v>2348</v>
      </c>
      <c r="AB5" s="6">
        <v>45092</v>
      </c>
      <c r="AC5" s="6">
        <v>45092</v>
      </c>
      <c r="AD5" s="6">
        <v>45092</v>
      </c>
    </row>
    <row r="6" spans="1:30" x14ac:dyDescent="0.35">
      <c r="A6" s="7" t="s">
        <v>60</v>
      </c>
      <c r="B6" s="4" t="s">
        <v>61</v>
      </c>
      <c r="C6" s="4" t="s">
        <v>62</v>
      </c>
      <c r="D6" s="4" t="s">
        <v>63</v>
      </c>
      <c r="E6" s="4" t="s">
        <v>64</v>
      </c>
      <c r="F6" s="4" t="s">
        <v>30</v>
      </c>
      <c r="G6" s="4" t="s">
        <v>100</v>
      </c>
      <c r="H6" s="4">
        <v>30</v>
      </c>
      <c r="I6" s="4" t="s">
        <v>65</v>
      </c>
      <c r="K6" s="4" t="s">
        <v>32</v>
      </c>
      <c r="L6" s="4" t="s">
        <v>33</v>
      </c>
      <c r="M6" s="4" t="s">
        <v>66</v>
      </c>
      <c r="N6" s="4">
        <f>13.58/1000</f>
        <v>1.358E-2</v>
      </c>
      <c r="O6" s="4" t="s">
        <v>52</v>
      </c>
      <c r="P6" s="4" t="s">
        <v>35</v>
      </c>
      <c r="Q6" s="4" t="s">
        <v>52</v>
      </c>
      <c r="R6" s="4" t="s">
        <v>35</v>
      </c>
      <c r="S6" s="4" t="s">
        <v>44</v>
      </c>
      <c r="W6" s="4" t="s">
        <v>2496</v>
      </c>
      <c r="X6" s="10" t="s">
        <v>67</v>
      </c>
      <c r="Y6" s="4" t="s">
        <v>2497</v>
      </c>
      <c r="AB6" s="6">
        <v>45092</v>
      </c>
      <c r="AC6" s="6">
        <v>45092</v>
      </c>
      <c r="AD6" s="6">
        <v>45092</v>
      </c>
    </row>
    <row r="7" spans="1:30" x14ac:dyDescent="0.35">
      <c r="A7" s="7" t="s">
        <v>68</v>
      </c>
      <c r="B7" s="4" t="s">
        <v>69</v>
      </c>
      <c r="C7" s="4" t="s">
        <v>70</v>
      </c>
      <c r="D7" s="4" t="s">
        <v>71</v>
      </c>
      <c r="E7" s="4" t="s">
        <v>72</v>
      </c>
      <c r="G7" s="4" t="s">
        <v>73</v>
      </c>
      <c r="H7" s="4">
        <v>3</v>
      </c>
      <c r="I7" s="4" t="s">
        <v>74</v>
      </c>
      <c r="K7" s="4" t="s">
        <v>32</v>
      </c>
      <c r="L7" s="4" t="s">
        <v>33</v>
      </c>
      <c r="M7" s="4" t="s">
        <v>43</v>
      </c>
      <c r="N7" s="4">
        <f>14/1000</f>
        <v>1.4E-2</v>
      </c>
      <c r="O7" s="4" t="s">
        <v>35</v>
      </c>
      <c r="Q7" s="4" t="s">
        <v>35</v>
      </c>
      <c r="R7" s="4" t="s">
        <v>2071</v>
      </c>
      <c r="W7" s="4" t="s">
        <v>2289</v>
      </c>
      <c r="X7" s="10" t="s">
        <v>76</v>
      </c>
      <c r="Y7" s="4" t="s">
        <v>77</v>
      </c>
      <c r="AB7" s="6">
        <v>45092</v>
      </c>
      <c r="AC7" s="6">
        <v>45092</v>
      </c>
      <c r="AD7" s="6">
        <v>45092</v>
      </c>
    </row>
    <row r="8" spans="1:30" x14ac:dyDescent="0.35">
      <c r="A8" s="7" t="s">
        <v>78</v>
      </c>
      <c r="B8" s="4" t="s">
        <v>79</v>
      </c>
      <c r="C8" s="4" t="s">
        <v>80</v>
      </c>
      <c r="D8" s="4" t="s">
        <v>81</v>
      </c>
      <c r="E8" s="4" t="s">
        <v>82</v>
      </c>
      <c r="F8" s="4" t="s">
        <v>30</v>
      </c>
      <c r="G8" s="4" t="s">
        <v>73</v>
      </c>
      <c r="H8" s="4">
        <v>10</v>
      </c>
      <c r="I8" s="4" t="s">
        <v>83</v>
      </c>
      <c r="K8" s="4" t="s">
        <v>32</v>
      </c>
      <c r="L8" s="4" t="s">
        <v>33</v>
      </c>
      <c r="M8" s="4" t="s">
        <v>43</v>
      </c>
      <c r="N8" s="4">
        <f>8.86/1000</f>
        <v>8.8599999999999998E-3</v>
      </c>
      <c r="O8" s="4" t="s">
        <v>35</v>
      </c>
      <c r="Q8" s="4" t="s">
        <v>35</v>
      </c>
      <c r="W8" s="4" t="s">
        <v>84</v>
      </c>
      <c r="X8" s="10" t="s">
        <v>67</v>
      </c>
      <c r="Y8" s="4" t="s">
        <v>85</v>
      </c>
      <c r="AB8" s="6">
        <v>45092</v>
      </c>
      <c r="AC8" s="6">
        <v>45092</v>
      </c>
      <c r="AD8" s="6">
        <v>45092</v>
      </c>
    </row>
    <row r="9" spans="1:30" x14ac:dyDescent="0.35">
      <c r="A9" s="7" t="s">
        <v>86</v>
      </c>
      <c r="B9" s="4" t="s">
        <v>87</v>
      </c>
      <c r="D9" s="4" t="s">
        <v>88</v>
      </c>
      <c r="G9" s="4" t="s">
        <v>89</v>
      </c>
      <c r="H9" s="4">
        <v>1.2</v>
      </c>
      <c r="I9" s="4" t="s">
        <v>90</v>
      </c>
      <c r="J9" s="4" t="s">
        <v>8</v>
      </c>
      <c r="K9" s="4" t="s">
        <v>91</v>
      </c>
      <c r="L9" s="4" t="s">
        <v>92</v>
      </c>
      <c r="M9" s="4" t="s">
        <v>93</v>
      </c>
      <c r="N9" s="4">
        <f>208/1000</f>
        <v>0.20799999999999999</v>
      </c>
      <c r="O9" s="4" t="s">
        <v>94</v>
      </c>
      <c r="Q9" s="4" t="s">
        <v>94</v>
      </c>
      <c r="R9" s="4" t="s">
        <v>44</v>
      </c>
      <c r="S9" s="4" t="s">
        <v>52</v>
      </c>
      <c r="W9" s="4" t="s">
        <v>1061</v>
      </c>
      <c r="X9" s="4" t="s">
        <v>95</v>
      </c>
      <c r="Z9" s="4" t="s">
        <v>2050</v>
      </c>
      <c r="AB9" s="6">
        <v>44714</v>
      </c>
      <c r="AC9" s="6">
        <v>45030</v>
      </c>
      <c r="AD9" s="6">
        <v>45029</v>
      </c>
    </row>
    <row r="10" spans="1:30" x14ac:dyDescent="0.35">
      <c r="A10" s="7" t="s">
        <v>2164</v>
      </c>
      <c r="B10" s="7" t="s">
        <v>2093</v>
      </c>
      <c r="D10" s="4" t="s">
        <v>2114</v>
      </c>
      <c r="E10" s="4" t="s">
        <v>2115</v>
      </c>
      <c r="G10" s="4" t="s">
        <v>100</v>
      </c>
      <c r="H10" s="4">
        <v>17</v>
      </c>
      <c r="K10" s="4" t="s">
        <v>102</v>
      </c>
      <c r="L10" s="4" t="s">
        <v>92</v>
      </c>
      <c r="M10" s="4" t="s">
        <v>103</v>
      </c>
      <c r="N10" s="4">
        <f>35.98/1000</f>
        <v>3.5979999999999998E-2</v>
      </c>
      <c r="O10" s="4" t="s">
        <v>104</v>
      </c>
      <c r="Q10" s="4" t="s">
        <v>104</v>
      </c>
      <c r="V10" s="4">
        <v>41.1</v>
      </c>
      <c r="W10" s="4" t="s">
        <v>2116</v>
      </c>
      <c r="Y10" s="4" t="s">
        <v>2117</v>
      </c>
      <c r="AB10" s="6">
        <v>45198</v>
      </c>
      <c r="AC10" s="6"/>
      <c r="AD10" s="6">
        <v>45198</v>
      </c>
    </row>
    <row r="11" spans="1:30" x14ac:dyDescent="0.35">
      <c r="A11" s="7" t="s">
        <v>96</v>
      </c>
      <c r="B11" s="4" t="s">
        <v>97</v>
      </c>
      <c r="D11" s="4" t="s">
        <v>98</v>
      </c>
      <c r="E11" s="4" t="s">
        <v>99</v>
      </c>
      <c r="G11" s="4" t="s">
        <v>100</v>
      </c>
      <c r="H11" s="4">
        <v>20</v>
      </c>
      <c r="I11" s="4" t="s">
        <v>101</v>
      </c>
      <c r="J11" s="4" t="s">
        <v>8</v>
      </c>
      <c r="K11" s="4" t="s">
        <v>102</v>
      </c>
      <c r="L11" s="4" t="s">
        <v>92</v>
      </c>
      <c r="M11" s="4" t="s">
        <v>103</v>
      </c>
      <c r="N11" s="4">
        <f>95.1/1000</f>
        <v>9.509999999999999E-2</v>
      </c>
      <c r="O11" s="4" t="s">
        <v>104</v>
      </c>
      <c r="Q11" s="4" t="s">
        <v>104</v>
      </c>
      <c r="R11" s="4" t="s">
        <v>52</v>
      </c>
      <c r="S11" s="4" t="s">
        <v>105</v>
      </c>
      <c r="V11" s="20">
        <v>85</v>
      </c>
      <c r="W11" s="20" t="s">
        <v>2364</v>
      </c>
      <c r="X11" s="4" t="s">
        <v>106</v>
      </c>
      <c r="Y11" s="20" t="s">
        <v>107</v>
      </c>
      <c r="AB11" s="6">
        <v>44714</v>
      </c>
      <c r="AC11" s="6">
        <v>45030</v>
      </c>
      <c r="AD11" s="6">
        <v>44731</v>
      </c>
    </row>
    <row r="12" spans="1:30" x14ac:dyDescent="0.35">
      <c r="A12" s="19" t="s">
        <v>2350</v>
      </c>
      <c r="B12" s="4" t="s">
        <v>2351</v>
      </c>
      <c r="C12" s="4" t="s">
        <v>2349</v>
      </c>
      <c r="D12" s="4" t="s">
        <v>108</v>
      </c>
      <c r="E12" s="4" t="s">
        <v>109</v>
      </c>
      <c r="F12" s="4" t="s">
        <v>110</v>
      </c>
      <c r="G12" s="4" t="s">
        <v>73</v>
      </c>
      <c r="I12" s="4" t="s">
        <v>111</v>
      </c>
      <c r="K12" s="4" t="s">
        <v>112</v>
      </c>
      <c r="L12" s="4" t="s">
        <v>33</v>
      </c>
      <c r="M12" s="4" t="s">
        <v>33</v>
      </c>
      <c r="N12" s="4">
        <f>1.6/1000</f>
        <v>1.6000000000000001E-3</v>
      </c>
      <c r="O12" s="4" t="s">
        <v>52</v>
      </c>
      <c r="Q12" s="4" t="s">
        <v>52</v>
      </c>
      <c r="V12" s="20"/>
      <c r="W12" s="4" t="s">
        <v>2515</v>
      </c>
      <c r="X12" s="4" t="s">
        <v>2516</v>
      </c>
      <c r="Y12" s="4" t="s">
        <v>113</v>
      </c>
      <c r="AB12" s="6">
        <v>45092</v>
      </c>
      <c r="AD12" s="6">
        <v>45092</v>
      </c>
    </row>
    <row r="13" spans="1:30" x14ac:dyDescent="0.35">
      <c r="A13" s="7" t="s">
        <v>2165</v>
      </c>
      <c r="B13" s="4" t="s">
        <v>2094</v>
      </c>
      <c r="L13" s="4" t="s">
        <v>297</v>
      </c>
      <c r="AB13" s="6"/>
      <c r="AD13" s="6"/>
    </row>
    <row r="14" spans="1:30" x14ac:dyDescent="0.35">
      <c r="A14" s="7" t="s">
        <v>114</v>
      </c>
      <c r="B14" s="4" t="s">
        <v>115</v>
      </c>
      <c r="D14" s="4" t="s">
        <v>116</v>
      </c>
      <c r="E14" s="4" t="s">
        <v>117</v>
      </c>
      <c r="G14" s="4" t="s">
        <v>89</v>
      </c>
      <c r="H14" s="4">
        <v>1.2</v>
      </c>
      <c r="K14" s="4" t="s">
        <v>91</v>
      </c>
      <c r="L14" s="4" t="s">
        <v>92</v>
      </c>
      <c r="M14" s="4" t="s">
        <v>103</v>
      </c>
      <c r="O14" s="4" t="s">
        <v>104</v>
      </c>
      <c r="Q14" s="4" t="s">
        <v>104</v>
      </c>
      <c r="V14" s="20"/>
      <c r="W14" s="4" t="s">
        <v>118</v>
      </c>
      <c r="AB14" s="6">
        <v>44714</v>
      </c>
      <c r="AC14" s="6">
        <v>45030</v>
      </c>
    </row>
    <row r="15" spans="1:30" x14ac:dyDescent="0.35">
      <c r="A15" s="7" t="s">
        <v>119</v>
      </c>
      <c r="B15" s="4" t="s">
        <v>120</v>
      </c>
      <c r="D15" s="4" t="s">
        <v>121</v>
      </c>
      <c r="E15" s="4" t="s">
        <v>122</v>
      </c>
      <c r="G15" s="4" t="s">
        <v>73</v>
      </c>
      <c r="H15" s="4">
        <v>10</v>
      </c>
      <c r="I15" s="4" t="s">
        <v>123</v>
      </c>
      <c r="K15" s="4" t="s">
        <v>91</v>
      </c>
      <c r="L15" s="4" t="s">
        <v>92</v>
      </c>
      <c r="M15" s="4" t="s">
        <v>124</v>
      </c>
      <c r="N15" s="4">
        <f>8.98/1000</f>
        <v>8.9800000000000001E-3</v>
      </c>
      <c r="O15" s="4" t="s">
        <v>2415</v>
      </c>
      <c r="Q15" s="4" t="s">
        <v>292</v>
      </c>
      <c r="V15" s="20"/>
      <c r="X15" s="4" t="s">
        <v>125</v>
      </c>
      <c r="Y15" s="4" t="s">
        <v>126</v>
      </c>
      <c r="Z15" s="4" t="s">
        <v>2566</v>
      </c>
      <c r="AB15" s="6">
        <v>44714</v>
      </c>
      <c r="AC15" s="6">
        <v>45030</v>
      </c>
      <c r="AD15" s="6">
        <v>44731</v>
      </c>
    </row>
    <row r="16" spans="1:30" x14ac:dyDescent="0.35">
      <c r="A16" s="7" t="s">
        <v>127</v>
      </c>
      <c r="B16" s="4" t="s">
        <v>128</v>
      </c>
      <c r="C16" s="4" t="s">
        <v>129</v>
      </c>
      <c r="D16" s="4" t="s">
        <v>130</v>
      </c>
      <c r="E16" s="4" t="s">
        <v>131</v>
      </c>
      <c r="G16" s="4" t="s">
        <v>89</v>
      </c>
      <c r="H16" s="4">
        <v>3</v>
      </c>
      <c r="I16" s="4" t="s">
        <v>132</v>
      </c>
      <c r="J16" s="4" t="s">
        <v>8</v>
      </c>
      <c r="K16" s="4" t="s">
        <v>133</v>
      </c>
      <c r="L16" s="4" t="s">
        <v>92</v>
      </c>
      <c r="M16" s="4" t="s">
        <v>134</v>
      </c>
      <c r="N16" s="4">
        <f>0.055/1000</f>
        <v>5.5000000000000002E-5</v>
      </c>
      <c r="O16" s="4" t="s">
        <v>104</v>
      </c>
      <c r="Q16" s="4" t="s">
        <v>104</v>
      </c>
      <c r="V16" s="20"/>
      <c r="W16" s="4" t="s">
        <v>2290</v>
      </c>
      <c r="Y16" s="4" t="s">
        <v>136</v>
      </c>
      <c r="AB16" s="6">
        <v>44714</v>
      </c>
      <c r="AC16" s="6">
        <v>45030</v>
      </c>
      <c r="AD16" s="6">
        <v>44731</v>
      </c>
    </row>
    <row r="17" spans="1:30" x14ac:dyDescent="0.35">
      <c r="A17" s="7" t="s">
        <v>137</v>
      </c>
      <c r="B17" s="4" t="s">
        <v>138</v>
      </c>
      <c r="D17" s="4" t="s">
        <v>139</v>
      </c>
      <c r="E17" s="4" t="s">
        <v>131</v>
      </c>
      <c r="G17" s="4" t="s">
        <v>89</v>
      </c>
      <c r="H17" s="4">
        <v>1</v>
      </c>
      <c r="I17" s="4" t="s">
        <v>140</v>
      </c>
      <c r="J17" s="4" t="s">
        <v>8</v>
      </c>
      <c r="K17" s="4" t="s">
        <v>133</v>
      </c>
      <c r="L17" s="4" t="s">
        <v>92</v>
      </c>
      <c r="M17" s="4" t="s">
        <v>134</v>
      </c>
      <c r="O17" s="4" t="s">
        <v>104</v>
      </c>
      <c r="Q17" s="4" t="s">
        <v>104</v>
      </c>
      <c r="V17" s="20"/>
      <c r="W17" s="4" t="s">
        <v>2291</v>
      </c>
      <c r="AB17" s="6">
        <v>44714</v>
      </c>
      <c r="AC17" s="6">
        <v>45030</v>
      </c>
      <c r="AD17" s="6">
        <v>44731</v>
      </c>
    </row>
    <row r="18" spans="1:30" x14ac:dyDescent="0.35">
      <c r="A18" s="7" t="s">
        <v>141</v>
      </c>
      <c r="B18" s="4" t="s">
        <v>142</v>
      </c>
      <c r="D18" s="4" t="s">
        <v>143</v>
      </c>
      <c r="E18" s="4" t="s">
        <v>144</v>
      </c>
      <c r="G18" s="4" t="s">
        <v>89</v>
      </c>
      <c r="H18" s="4">
        <v>1</v>
      </c>
      <c r="I18" s="4" t="s">
        <v>145</v>
      </c>
      <c r="J18" s="4" t="s">
        <v>8</v>
      </c>
      <c r="K18" s="4" t="s">
        <v>133</v>
      </c>
      <c r="L18" s="4" t="s">
        <v>92</v>
      </c>
      <c r="M18" s="4" t="s">
        <v>134</v>
      </c>
      <c r="N18" s="4">
        <f>0.1/1000</f>
        <v>1E-4</v>
      </c>
      <c r="O18" s="4" t="s">
        <v>104</v>
      </c>
      <c r="Q18" s="4" t="s">
        <v>104</v>
      </c>
      <c r="V18" s="20"/>
      <c r="W18" s="4" t="s">
        <v>25</v>
      </c>
      <c r="X18" s="4" t="s">
        <v>147</v>
      </c>
      <c r="Y18" s="4" t="s">
        <v>2332</v>
      </c>
      <c r="Z18" s="9"/>
      <c r="AB18" s="6">
        <v>44714</v>
      </c>
      <c r="AC18" s="6">
        <v>45033</v>
      </c>
      <c r="AD18" s="6">
        <v>44731</v>
      </c>
    </row>
    <row r="19" spans="1:30" x14ac:dyDescent="0.35">
      <c r="A19" s="7" t="s">
        <v>148</v>
      </c>
      <c r="B19" s="4" t="s">
        <v>149</v>
      </c>
      <c r="D19" s="4" t="s">
        <v>150</v>
      </c>
      <c r="F19" s="4" t="s">
        <v>151</v>
      </c>
      <c r="G19" s="4" t="s">
        <v>89</v>
      </c>
      <c r="H19" s="4">
        <v>1</v>
      </c>
      <c r="I19" s="4" t="s">
        <v>152</v>
      </c>
      <c r="J19" s="4" t="s">
        <v>8</v>
      </c>
      <c r="K19" s="4" t="s">
        <v>153</v>
      </c>
      <c r="L19" s="4" t="s">
        <v>92</v>
      </c>
      <c r="M19" s="4" t="s">
        <v>154</v>
      </c>
      <c r="N19" s="4">
        <f>0.075/1000</f>
        <v>7.4999999999999993E-5</v>
      </c>
      <c r="O19" s="4" t="s">
        <v>2415</v>
      </c>
      <c r="Q19" s="4" t="s">
        <v>105</v>
      </c>
      <c r="R19" s="4" t="s">
        <v>52</v>
      </c>
      <c r="S19" s="4" t="s">
        <v>2071</v>
      </c>
      <c r="T19" s="4" t="s">
        <v>44</v>
      </c>
      <c r="V19" s="20"/>
      <c r="W19" s="4" t="s">
        <v>2434</v>
      </c>
      <c r="X19" s="4" t="s">
        <v>2388</v>
      </c>
      <c r="Y19" s="4" t="s">
        <v>2435</v>
      </c>
      <c r="Z19" s="9"/>
      <c r="AB19" s="6">
        <v>44714</v>
      </c>
      <c r="AC19" s="6">
        <v>45033</v>
      </c>
      <c r="AD19" s="6">
        <v>44731</v>
      </c>
    </row>
    <row r="20" spans="1:30" x14ac:dyDescent="0.35">
      <c r="A20" s="7" t="s">
        <v>155</v>
      </c>
      <c r="B20" s="4" t="s">
        <v>156</v>
      </c>
      <c r="C20" s="4" t="s">
        <v>157</v>
      </c>
      <c r="D20" s="4" t="s">
        <v>158</v>
      </c>
      <c r="G20" s="4" t="s">
        <v>100</v>
      </c>
      <c r="H20" s="4">
        <v>25</v>
      </c>
      <c r="I20" s="4" t="s">
        <v>159</v>
      </c>
      <c r="J20" s="4" t="s">
        <v>8</v>
      </c>
      <c r="K20" s="4" t="s">
        <v>102</v>
      </c>
      <c r="L20" s="4" t="s">
        <v>92</v>
      </c>
      <c r="M20" s="4" t="s">
        <v>103</v>
      </c>
      <c r="N20" s="4">
        <f>29.2/1000</f>
        <v>2.92E-2</v>
      </c>
      <c r="O20" s="4" t="s">
        <v>104</v>
      </c>
      <c r="Q20" s="4" t="s">
        <v>104</v>
      </c>
      <c r="R20" s="4" t="s">
        <v>44</v>
      </c>
      <c r="V20" s="20" t="s">
        <v>160</v>
      </c>
      <c r="W20" s="4" t="s">
        <v>2389</v>
      </c>
      <c r="Y20" s="4" t="s">
        <v>161</v>
      </c>
      <c r="AB20" s="6">
        <v>44714</v>
      </c>
      <c r="AC20" s="6"/>
      <c r="AD20" s="6">
        <v>44731</v>
      </c>
    </row>
    <row r="21" spans="1:30" x14ac:dyDescent="0.35">
      <c r="A21" s="7" t="s">
        <v>162</v>
      </c>
      <c r="B21" s="4" t="s">
        <v>163</v>
      </c>
      <c r="D21" s="4" t="s">
        <v>164</v>
      </c>
      <c r="E21" s="4" t="s">
        <v>165</v>
      </c>
      <c r="K21" s="4" t="s">
        <v>166</v>
      </c>
      <c r="L21" s="4" t="s">
        <v>33</v>
      </c>
      <c r="M21" s="4" t="s">
        <v>33</v>
      </c>
      <c r="W21" s="4" t="s">
        <v>167</v>
      </c>
      <c r="Y21" s="4" t="s">
        <v>2072</v>
      </c>
      <c r="AA21" s="4" t="s">
        <v>168</v>
      </c>
    </row>
    <row r="22" spans="1:30" x14ac:dyDescent="0.35">
      <c r="A22" s="7" t="s">
        <v>170</v>
      </c>
      <c r="B22" s="4" t="s">
        <v>171</v>
      </c>
      <c r="D22" s="4" t="s">
        <v>172</v>
      </c>
      <c r="E22" s="4" t="s">
        <v>173</v>
      </c>
      <c r="G22" s="4" t="s">
        <v>89</v>
      </c>
      <c r="H22" s="4">
        <v>0.6</v>
      </c>
      <c r="I22" s="4" t="s">
        <v>174</v>
      </c>
      <c r="J22" s="4" t="s">
        <v>8</v>
      </c>
      <c r="K22" s="4" t="s">
        <v>91</v>
      </c>
      <c r="L22" s="4" t="s">
        <v>92</v>
      </c>
      <c r="M22" s="4" t="s">
        <v>175</v>
      </c>
      <c r="O22" s="4" t="s">
        <v>35</v>
      </c>
      <c r="Q22" s="4" t="s">
        <v>35</v>
      </c>
      <c r="W22" s="4" t="s">
        <v>176</v>
      </c>
      <c r="X22" s="4" t="s">
        <v>177</v>
      </c>
      <c r="Y22" s="4" t="s">
        <v>178</v>
      </c>
      <c r="AB22" s="6">
        <v>44714</v>
      </c>
      <c r="AC22" s="6">
        <v>45033</v>
      </c>
    </row>
    <row r="23" spans="1:30" x14ac:dyDescent="0.35">
      <c r="A23" s="7" t="s">
        <v>179</v>
      </c>
      <c r="B23" s="4" t="s">
        <v>180</v>
      </c>
      <c r="D23" s="4" t="s">
        <v>181</v>
      </c>
      <c r="G23" s="4" t="s">
        <v>100</v>
      </c>
      <c r="H23" s="4">
        <v>15</v>
      </c>
      <c r="I23" s="4" t="s">
        <v>2083</v>
      </c>
      <c r="J23" s="4" t="s">
        <v>8</v>
      </c>
      <c r="K23" s="4" t="s">
        <v>182</v>
      </c>
      <c r="L23" s="4" t="s">
        <v>92</v>
      </c>
      <c r="M23" s="4" t="s">
        <v>2552</v>
      </c>
      <c r="N23" s="4">
        <f>5/1000</f>
        <v>5.0000000000000001E-3</v>
      </c>
      <c r="O23" s="4" t="s">
        <v>104</v>
      </c>
      <c r="Q23" s="4" t="s">
        <v>104</v>
      </c>
      <c r="R23" s="4" t="s">
        <v>44</v>
      </c>
      <c r="S23" s="4" t="s">
        <v>105</v>
      </c>
      <c r="T23" s="4" t="s">
        <v>52</v>
      </c>
      <c r="W23" s="4" t="s">
        <v>2436</v>
      </c>
      <c r="Y23" s="4" t="s">
        <v>2554</v>
      </c>
      <c r="AB23" s="6">
        <v>44714</v>
      </c>
      <c r="AC23" s="6">
        <v>45033</v>
      </c>
      <c r="AD23" s="6">
        <v>44731</v>
      </c>
    </row>
    <row r="24" spans="1:30" x14ac:dyDescent="0.35">
      <c r="A24" s="7" t="s">
        <v>2166</v>
      </c>
      <c r="B24" s="4" t="s">
        <v>183</v>
      </c>
      <c r="C24" s="4" t="s">
        <v>184</v>
      </c>
      <c r="D24" s="4" t="s">
        <v>185</v>
      </c>
      <c r="G24" s="4" t="s">
        <v>89</v>
      </c>
      <c r="H24" s="4">
        <v>3</v>
      </c>
      <c r="I24" s="4" t="s">
        <v>186</v>
      </c>
      <c r="J24" s="4" t="s">
        <v>8</v>
      </c>
      <c r="K24" s="4" t="s">
        <v>112</v>
      </c>
      <c r="L24" s="4" t="s">
        <v>33</v>
      </c>
      <c r="M24" s="4" t="s">
        <v>33</v>
      </c>
      <c r="N24" s="4">
        <f>10/1000</f>
        <v>0.01</v>
      </c>
      <c r="O24" s="4" t="s">
        <v>52</v>
      </c>
      <c r="Q24" s="4" t="s">
        <v>52</v>
      </c>
      <c r="W24" s="4" t="s">
        <v>187</v>
      </c>
      <c r="X24" s="4" t="s">
        <v>188</v>
      </c>
      <c r="AB24" s="6">
        <v>45092</v>
      </c>
      <c r="AC24" s="6">
        <v>45092</v>
      </c>
      <c r="AD24" s="6">
        <v>45092</v>
      </c>
    </row>
    <row r="25" spans="1:30" x14ac:dyDescent="0.35">
      <c r="A25" s="7" t="s">
        <v>189</v>
      </c>
      <c r="B25" s="4" t="s">
        <v>190</v>
      </c>
      <c r="C25" s="4" t="s">
        <v>191</v>
      </c>
      <c r="D25" s="4" t="s">
        <v>192</v>
      </c>
      <c r="E25" s="4" t="s">
        <v>193</v>
      </c>
      <c r="G25" s="4" t="s">
        <v>89</v>
      </c>
      <c r="H25" s="4">
        <v>1</v>
      </c>
      <c r="K25" s="4" t="s">
        <v>91</v>
      </c>
      <c r="L25" s="4" t="s">
        <v>92</v>
      </c>
      <c r="N25" s="4">
        <f>1.645/1000</f>
        <v>1.645E-3</v>
      </c>
      <c r="X25" s="4" t="s">
        <v>2292</v>
      </c>
      <c r="AA25" s="4" t="s">
        <v>154</v>
      </c>
      <c r="AB25" s="6">
        <v>44714</v>
      </c>
      <c r="AC25" s="6"/>
      <c r="AD25" s="6">
        <v>44731</v>
      </c>
    </row>
    <row r="26" spans="1:30" x14ac:dyDescent="0.35">
      <c r="A26" s="7" t="s">
        <v>195</v>
      </c>
      <c r="B26" s="4" t="s">
        <v>196</v>
      </c>
      <c r="D26" s="4" t="s">
        <v>197</v>
      </c>
      <c r="E26" s="4" t="s">
        <v>198</v>
      </c>
      <c r="K26" s="4" t="s">
        <v>199</v>
      </c>
      <c r="L26" s="4" t="s">
        <v>169</v>
      </c>
      <c r="AA26" s="4" t="s">
        <v>154</v>
      </c>
      <c r="AB26" s="6">
        <v>45033</v>
      </c>
    </row>
    <row r="27" spans="1:30" x14ac:dyDescent="0.35">
      <c r="A27" s="7" t="s">
        <v>2338</v>
      </c>
      <c r="B27" s="4" t="s">
        <v>2339</v>
      </c>
      <c r="C27" s="4" t="s">
        <v>200</v>
      </c>
      <c r="D27" s="4" t="s">
        <v>201</v>
      </c>
      <c r="E27" s="4" t="s">
        <v>202</v>
      </c>
      <c r="F27" s="4" t="s">
        <v>151</v>
      </c>
      <c r="G27" s="4" t="s">
        <v>89</v>
      </c>
      <c r="H27" s="4">
        <v>1.7</v>
      </c>
      <c r="I27" s="4" t="s">
        <v>203</v>
      </c>
      <c r="K27" s="4" t="s">
        <v>153</v>
      </c>
      <c r="L27" s="4" t="s">
        <v>92</v>
      </c>
      <c r="M27" s="4" t="s">
        <v>204</v>
      </c>
      <c r="N27" s="4">
        <f>3/1000</f>
        <v>3.0000000000000001E-3</v>
      </c>
      <c r="W27" s="4" t="s">
        <v>205</v>
      </c>
      <c r="X27" s="4" t="s">
        <v>206</v>
      </c>
      <c r="Y27" s="4" t="s">
        <v>2073</v>
      </c>
      <c r="Z27" s="9"/>
      <c r="AA27" s="4" t="s">
        <v>168</v>
      </c>
      <c r="AB27" s="6">
        <v>44714</v>
      </c>
      <c r="AC27" s="6">
        <v>45033</v>
      </c>
      <c r="AD27" s="6">
        <v>44731</v>
      </c>
    </row>
    <row r="28" spans="1:30" x14ac:dyDescent="0.35">
      <c r="A28" s="7" t="s">
        <v>207</v>
      </c>
      <c r="B28" s="4" t="s">
        <v>208</v>
      </c>
      <c r="C28" s="4" t="s">
        <v>209</v>
      </c>
      <c r="D28" s="4" t="s">
        <v>210</v>
      </c>
      <c r="E28" s="4" t="s">
        <v>211</v>
      </c>
      <c r="F28" s="4" t="s">
        <v>110</v>
      </c>
      <c r="G28" s="4" t="s">
        <v>73</v>
      </c>
      <c r="K28" s="4" t="s">
        <v>91</v>
      </c>
      <c r="L28" s="4" t="s">
        <v>92</v>
      </c>
      <c r="M28" s="4" t="s">
        <v>103</v>
      </c>
      <c r="N28" s="4">
        <f>55.79/1000</f>
        <v>5.5789999999999999E-2</v>
      </c>
      <c r="O28" s="4" t="s">
        <v>104</v>
      </c>
      <c r="Q28" s="4" t="s">
        <v>104</v>
      </c>
      <c r="W28" s="4" t="s">
        <v>25</v>
      </c>
      <c r="X28" s="4" t="s">
        <v>212</v>
      </c>
      <c r="Y28" s="9"/>
      <c r="AB28" s="6">
        <v>44728</v>
      </c>
      <c r="AC28" s="6">
        <v>44728</v>
      </c>
      <c r="AD28" s="6">
        <v>44731</v>
      </c>
    </row>
    <row r="29" spans="1:30" x14ac:dyDescent="0.35">
      <c r="A29" s="7" t="s">
        <v>213</v>
      </c>
      <c r="B29" s="4" t="s">
        <v>214</v>
      </c>
      <c r="D29" s="4" t="s">
        <v>215</v>
      </c>
      <c r="E29" s="4" t="s">
        <v>216</v>
      </c>
      <c r="K29" s="4" t="s">
        <v>153</v>
      </c>
      <c r="L29" s="4" t="s">
        <v>92</v>
      </c>
      <c r="Y29" s="4" t="s">
        <v>217</v>
      </c>
      <c r="AA29" s="4" t="s">
        <v>154</v>
      </c>
    </row>
    <row r="30" spans="1:30" x14ac:dyDescent="0.35">
      <c r="A30" s="7" t="s">
        <v>218</v>
      </c>
      <c r="B30" s="4" t="s">
        <v>219</v>
      </c>
      <c r="D30" s="4" t="s">
        <v>220</v>
      </c>
      <c r="G30" s="4" t="s">
        <v>89</v>
      </c>
      <c r="H30" s="4">
        <v>0.6</v>
      </c>
      <c r="I30" s="4" t="s">
        <v>221</v>
      </c>
      <c r="K30" s="4" t="s">
        <v>222</v>
      </c>
      <c r="L30" s="4" t="s">
        <v>92</v>
      </c>
      <c r="M30" s="4" t="s">
        <v>223</v>
      </c>
      <c r="N30" s="4">
        <f>8.17/1000</f>
        <v>8.1700000000000002E-3</v>
      </c>
      <c r="O30" s="4" t="s">
        <v>2415</v>
      </c>
      <c r="Q30" s="4" t="s">
        <v>44</v>
      </c>
      <c r="R30" s="4" t="s">
        <v>2071</v>
      </c>
      <c r="W30" s="4" t="s">
        <v>25</v>
      </c>
      <c r="X30" s="4" t="s">
        <v>224</v>
      </c>
      <c r="Y30" s="10" t="s">
        <v>225</v>
      </c>
      <c r="Z30" s="4" t="s">
        <v>2566</v>
      </c>
      <c r="AB30" s="6">
        <v>44714</v>
      </c>
      <c r="AC30" s="6">
        <v>45033</v>
      </c>
      <c r="AD30" s="6">
        <v>45033</v>
      </c>
    </row>
    <row r="31" spans="1:30" x14ac:dyDescent="0.35">
      <c r="A31" s="7" t="s">
        <v>226</v>
      </c>
      <c r="B31" s="4" t="s">
        <v>227</v>
      </c>
      <c r="D31" s="4" t="s">
        <v>228</v>
      </c>
      <c r="K31" s="4" t="s">
        <v>229</v>
      </c>
      <c r="L31" s="4" t="s">
        <v>92</v>
      </c>
      <c r="AA31" s="4" t="s">
        <v>154</v>
      </c>
    </row>
    <row r="32" spans="1:30" x14ac:dyDescent="0.35">
      <c r="A32" s="7" t="s">
        <v>230</v>
      </c>
      <c r="B32" s="4" t="s">
        <v>231</v>
      </c>
      <c r="D32" s="4" t="s">
        <v>232</v>
      </c>
      <c r="E32" s="4" t="s">
        <v>233</v>
      </c>
      <c r="G32" s="4" t="s">
        <v>89</v>
      </c>
      <c r="H32" s="4">
        <v>0.06</v>
      </c>
      <c r="I32" s="4" t="s">
        <v>234</v>
      </c>
      <c r="J32" s="4" t="s">
        <v>8</v>
      </c>
      <c r="K32" s="4" t="s">
        <v>235</v>
      </c>
      <c r="L32" s="4" t="s">
        <v>169</v>
      </c>
      <c r="M32" s="4" t="s">
        <v>2293</v>
      </c>
      <c r="O32" s="4" t="s">
        <v>44</v>
      </c>
      <c r="Q32" s="4" t="s">
        <v>44</v>
      </c>
      <c r="W32" s="4" t="s">
        <v>2390</v>
      </c>
      <c r="Y32" s="4" t="s">
        <v>236</v>
      </c>
      <c r="AB32" s="6">
        <v>44714</v>
      </c>
      <c r="AC32" s="6">
        <v>45033</v>
      </c>
      <c r="AD32" s="6">
        <v>44731</v>
      </c>
    </row>
    <row r="33" spans="1:30" x14ac:dyDescent="0.35">
      <c r="A33" s="7" t="s">
        <v>2357</v>
      </c>
      <c r="B33" s="4" t="s">
        <v>2264</v>
      </c>
      <c r="C33" s="4" t="s">
        <v>237</v>
      </c>
      <c r="D33" s="4" t="s">
        <v>238</v>
      </c>
      <c r="E33" s="4" t="s">
        <v>239</v>
      </c>
      <c r="F33" s="4" t="s">
        <v>110</v>
      </c>
      <c r="G33" s="4" t="s">
        <v>73</v>
      </c>
      <c r="H33" s="4">
        <v>10</v>
      </c>
      <c r="I33" s="4" t="s">
        <v>240</v>
      </c>
      <c r="L33" s="4" t="s">
        <v>92</v>
      </c>
      <c r="M33" s="4" t="s">
        <v>241</v>
      </c>
      <c r="O33" s="4" t="s">
        <v>104</v>
      </c>
      <c r="Q33" s="4" t="s">
        <v>104</v>
      </c>
      <c r="R33" s="4" t="s">
        <v>44</v>
      </c>
      <c r="W33" s="4" t="s">
        <v>2363</v>
      </c>
      <c r="Y33" t="s">
        <v>2356</v>
      </c>
      <c r="AB33" s="6">
        <v>44714</v>
      </c>
      <c r="AC33" s="6">
        <v>45033</v>
      </c>
    </row>
    <row r="34" spans="1:30" x14ac:dyDescent="0.35">
      <c r="A34" s="7" t="s">
        <v>2167</v>
      </c>
      <c r="B34" s="4" t="s">
        <v>243</v>
      </c>
      <c r="D34" s="4" t="s">
        <v>244</v>
      </c>
      <c r="E34" s="4" t="s">
        <v>245</v>
      </c>
      <c r="G34" s="4" t="s">
        <v>100</v>
      </c>
      <c r="H34" s="4">
        <v>13</v>
      </c>
      <c r="I34" s="4" t="s">
        <v>246</v>
      </c>
      <c r="J34" s="4" t="s">
        <v>8</v>
      </c>
      <c r="L34" s="4" t="s">
        <v>33</v>
      </c>
      <c r="M34" s="4" t="s">
        <v>33</v>
      </c>
      <c r="N34" s="4">
        <f>568.2/1000</f>
        <v>0.56820000000000004</v>
      </c>
      <c r="O34" s="4" t="s">
        <v>52</v>
      </c>
      <c r="Q34" s="4" t="s">
        <v>52</v>
      </c>
      <c r="R34" s="4" t="s">
        <v>44</v>
      </c>
      <c r="W34" s="4" t="s">
        <v>2294</v>
      </c>
      <c r="X34" s="4" t="s">
        <v>247</v>
      </c>
      <c r="Y34" s="4" t="s">
        <v>2391</v>
      </c>
      <c r="AB34" s="6"/>
      <c r="AC34" s="6">
        <v>45092</v>
      </c>
      <c r="AD34" s="6">
        <v>45092</v>
      </c>
    </row>
    <row r="35" spans="1:30" x14ac:dyDescent="0.35">
      <c r="A35" s="7" t="s">
        <v>2168</v>
      </c>
      <c r="B35" s="4" t="s">
        <v>248</v>
      </c>
      <c r="D35" s="4" t="s">
        <v>249</v>
      </c>
      <c r="G35" s="4" t="s">
        <v>89</v>
      </c>
      <c r="H35" s="4">
        <v>1.5</v>
      </c>
      <c r="I35" s="4" t="s">
        <v>250</v>
      </c>
      <c r="J35" s="4" t="s">
        <v>8</v>
      </c>
      <c r="K35" s="4" t="s">
        <v>133</v>
      </c>
      <c r="L35" s="4" t="s">
        <v>92</v>
      </c>
      <c r="M35" s="4" t="s">
        <v>251</v>
      </c>
      <c r="N35" s="4">
        <f>8.9/1000</f>
        <v>8.8999999999999999E-3</v>
      </c>
      <c r="O35" s="4" t="s">
        <v>105</v>
      </c>
      <c r="Q35" s="4" t="s">
        <v>105</v>
      </c>
      <c r="R35" s="4" t="s">
        <v>2071</v>
      </c>
      <c r="S35" s="4" t="s">
        <v>52</v>
      </c>
      <c r="T35" s="4" t="s">
        <v>44</v>
      </c>
      <c r="W35" s="4" t="s">
        <v>2527</v>
      </c>
      <c r="X35" s="4" t="s">
        <v>2555</v>
      </c>
      <c r="Y35" s="4" t="s">
        <v>2526</v>
      </c>
      <c r="AB35" s="6">
        <v>44714</v>
      </c>
      <c r="AC35" s="6">
        <v>45033</v>
      </c>
      <c r="AD35" s="6">
        <v>44731</v>
      </c>
    </row>
    <row r="36" spans="1:30" x14ac:dyDescent="0.35">
      <c r="A36" s="7" t="s">
        <v>252</v>
      </c>
      <c r="B36" s="4" t="s">
        <v>253</v>
      </c>
      <c r="D36" s="4" t="s">
        <v>254</v>
      </c>
      <c r="E36" s="4" t="s">
        <v>255</v>
      </c>
      <c r="G36" s="4" t="s">
        <v>89</v>
      </c>
      <c r="H36" s="4">
        <v>0.45</v>
      </c>
      <c r="I36" s="4" t="s">
        <v>256</v>
      </c>
      <c r="K36" s="4" t="s">
        <v>91</v>
      </c>
      <c r="L36" s="4" t="s">
        <v>92</v>
      </c>
      <c r="M36" s="4" t="s">
        <v>154</v>
      </c>
      <c r="N36" s="4">
        <f>1.215/1000</f>
        <v>1.2150000000000002E-3</v>
      </c>
      <c r="O36" s="4" t="s">
        <v>2415</v>
      </c>
      <c r="Q36" s="4" t="s">
        <v>2071</v>
      </c>
      <c r="R36" s="4" t="s">
        <v>44</v>
      </c>
      <c r="W36" s="4" t="s">
        <v>194</v>
      </c>
      <c r="X36" s="4" t="s">
        <v>257</v>
      </c>
      <c r="AB36" s="6">
        <v>44714</v>
      </c>
      <c r="AC36" s="6">
        <v>45027</v>
      </c>
      <c r="AD36" s="6">
        <v>44731</v>
      </c>
    </row>
    <row r="37" spans="1:30" x14ac:dyDescent="0.35">
      <c r="A37" s="7" t="s">
        <v>258</v>
      </c>
      <c r="B37" s="4" t="s">
        <v>259</v>
      </c>
      <c r="D37" s="4" t="s">
        <v>260</v>
      </c>
      <c r="E37" s="4" t="s">
        <v>261</v>
      </c>
      <c r="G37" s="4" t="s">
        <v>89</v>
      </c>
      <c r="H37" s="4">
        <v>2</v>
      </c>
      <c r="K37" s="4" t="s">
        <v>133</v>
      </c>
      <c r="L37" s="4" t="s">
        <v>92</v>
      </c>
      <c r="M37" s="4" t="s">
        <v>154</v>
      </c>
      <c r="W37" s="4" t="s">
        <v>262</v>
      </c>
      <c r="Y37" s="4" t="s">
        <v>2295</v>
      </c>
      <c r="AA37" s="4" t="s">
        <v>154</v>
      </c>
      <c r="AB37" s="6">
        <v>44714</v>
      </c>
      <c r="AC37" s="6"/>
    </row>
    <row r="38" spans="1:30" x14ac:dyDescent="0.35">
      <c r="A38" s="7" t="s">
        <v>263</v>
      </c>
      <c r="B38" s="4" t="s">
        <v>264</v>
      </c>
      <c r="D38" s="4" t="s">
        <v>265</v>
      </c>
      <c r="E38" s="4" t="s">
        <v>266</v>
      </c>
      <c r="G38" s="4" t="s">
        <v>89</v>
      </c>
      <c r="H38" s="4">
        <v>0.6</v>
      </c>
      <c r="I38" s="4" t="s">
        <v>267</v>
      </c>
      <c r="K38" s="4" t="s">
        <v>112</v>
      </c>
      <c r="L38" s="4" t="s">
        <v>33</v>
      </c>
      <c r="M38" s="4" t="s">
        <v>33</v>
      </c>
      <c r="N38" s="4">
        <f>39/1000</f>
        <v>3.9E-2</v>
      </c>
      <c r="O38" s="4" t="s">
        <v>52</v>
      </c>
      <c r="Q38" s="4" t="s">
        <v>52</v>
      </c>
      <c r="W38" s="4" t="s">
        <v>2296</v>
      </c>
      <c r="X38" s="4" t="s">
        <v>268</v>
      </c>
      <c r="Y38" s="11"/>
      <c r="Z38" s="10"/>
      <c r="AB38" s="6">
        <v>45092</v>
      </c>
      <c r="AC38" s="6">
        <v>45092</v>
      </c>
      <c r="AD38" s="6">
        <v>45092</v>
      </c>
    </row>
    <row r="39" spans="1:30" x14ac:dyDescent="0.35">
      <c r="A39" s="7" t="s">
        <v>269</v>
      </c>
      <c r="B39" s="4" t="s">
        <v>270</v>
      </c>
      <c r="D39" s="4" t="s">
        <v>271</v>
      </c>
      <c r="E39" s="4" t="s">
        <v>272</v>
      </c>
      <c r="F39" s="4" t="s">
        <v>2285</v>
      </c>
      <c r="G39" s="4" t="s">
        <v>73</v>
      </c>
      <c r="H39" s="4">
        <v>5</v>
      </c>
      <c r="I39" s="4" t="s">
        <v>273</v>
      </c>
      <c r="J39" s="4" t="s">
        <v>8</v>
      </c>
      <c r="K39" s="4" t="s">
        <v>153</v>
      </c>
      <c r="L39" s="4" t="s">
        <v>92</v>
      </c>
      <c r="N39" s="4">
        <f>0.1088/1000</f>
        <v>1.0879999999999999E-4</v>
      </c>
      <c r="W39" s="4" t="s">
        <v>274</v>
      </c>
      <c r="Y39" s="11"/>
      <c r="AA39" s="4" t="s">
        <v>168</v>
      </c>
      <c r="AB39" s="6">
        <v>44714</v>
      </c>
      <c r="AC39" s="6">
        <v>45033</v>
      </c>
    </row>
    <row r="40" spans="1:30" x14ac:dyDescent="0.35">
      <c r="A40" s="7" t="s">
        <v>275</v>
      </c>
      <c r="B40" s="4" t="s">
        <v>276</v>
      </c>
      <c r="D40" s="4" t="s">
        <v>277</v>
      </c>
      <c r="G40" s="4" t="s">
        <v>89</v>
      </c>
      <c r="I40" s="4" t="s">
        <v>278</v>
      </c>
      <c r="K40" s="4" t="s">
        <v>112</v>
      </c>
      <c r="L40" s="4" t="s">
        <v>33</v>
      </c>
      <c r="M40" s="4" t="s">
        <v>33</v>
      </c>
      <c r="N40" s="4">
        <f>38.34/1000</f>
        <v>3.8340000000000006E-2</v>
      </c>
      <c r="O40" s="4" t="s">
        <v>52</v>
      </c>
      <c r="Q40" s="4" t="s">
        <v>52</v>
      </c>
      <c r="W40" s="4" t="s">
        <v>118</v>
      </c>
      <c r="X40" s="4" t="s">
        <v>2297</v>
      </c>
      <c r="Y40" s="11"/>
      <c r="AB40" s="6">
        <v>44714</v>
      </c>
      <c r="AD40" s="6">
        <v>45092</v>
      </c>
    </row>
    <row r="41" spans="1:30" x14ac:dyDescent="0.35">
      <c r="A41" s="7" t="s">
        <v>2169</v>
      </c>
      <c r="B41" s="4" t="s">
        <v>279</v>
      </c>
      <c r="D41" s="4" t="s">
        <v>280</v>
      </c>
      <c r="E41" s="4" t="s">
        <v>281</v>
      </c>
      <c r="F41" s="4" t="s">
        <v>110</v>
      </c>
      <c r="G41" s="4" t="s">
        <v>73</v>
      </c>
      <c r="I41" s="4" t="s">
        <v>282</v>
      </c>
      <c r="K41" s="4" t="s">
        <v>112</v>
      </c>
      <c r="L41" s="4" t="s">
        <v>33</v>
      </c>
      <c r="M41" s="4" t="s">
        <v>33</v>
      </c>
      <c r="N41" s="4">
        <f>5.4/1000</f>
        <v>5.4000000000000003E-3</v>
      </c>
      <c r="O41" s="4" t="s">
        <v>52</v>
      </c>
      <c r="Q41" s="4" t="s">
        <v>52</v>
      </c>
      <c r="R41" s="4" t="s">
        <v>35</v>
      </c>
      <c r="W41" s="4" t="s">
        <v>2485</v>
      </c>
      <c r="X41" s="4" t="s">
        <v>283</v>
      </c>
      <c r="Y41" s="4" t="s">
        <v>2486</v>
      </c>
      <c r="AB41" s="6">
        <v>45092</v>
      </c>
      <c r="AC41" s="6">
        <v>45092</v>
      </c>
      <c r="AD41" s="6">
        <v>45092</v>
      </c>
    </row>
    <row r="42" spans="1:30" x14ac:dyDescent="0.35">
      <c r="A42" s="7" t="s">
        <v>284</v>
      </c>
      <c r="B42" s="4" t="s">
        <v>285</v>
      </c>
      <c r="D42" s="4" t="s">
        <v>286</v>
      </c>
      <c r="F42" s="4" t="s">
        <v>110</v>
      </c>
      <c r="G42" s="4" t="s">
        <v>73</v>
      </c>
      <c r="I42" s="4" t="s">
        <v>287</v>
      </c>
      <c r="J42" s="4" t="s">
        <v>8</v>
      </c>
      <c r="K42" s="4" t="s">
        <v>112</v>
      </c>
      <c r="L42" s="4" t="s">
        <v>33</v>
      </c>
      <c r="M42" s="4" t="s">
        <v>33</v>
      </c>
      <c r="O42" s="4" t="s">
        <v>52</v>
      </c>
      <c r="Q42" s="4" t="s">
        <v>52</v>
      </c>
      <c r="W42" s="4" t="s">
        <v>2298</v>
      </c>
      <c r="X42" s="4" t="s">
        <v>288</v>
      </c>
      <c r="Y42" s="11"/>
      <c r="AB42" s="6">
        <v>45092</v>
      </c>
      <c r="AC42" s="6">
        <v>45092</v>
      </c>
    </row>
    <row r="43" spans="1:30" x14ac:dyDescent="0.35">
      <c r="A43" s="7" t="s">
        <v>289</v>
      </c>
      <c r="B43" s="4" t="s">
        <v>290</v>
      </c>
      <c r="D43" s="4" t="s">
        <v>172</v>
      </c>
      <c r="G43" s="4" t="s">
        <v>89</v>
      </c>
      <c r="H43" s="4">
        <v>0.4</v>
      </c>
      <c r="I43" s="4" t="s">
        <v>291</v>
      </c>
      <c r="K43" s="4" t="s">
        <v>91</v>
      </c>
      <c r="L43" s="4" t="s">
        <v>92</v>
      </c>
      <c r="M43" s="4" t="s">
        <v>154</v>
      </c>
      <c r="N43" s="4">
        <f>2.7/1000</f>
        <v>2.7000000000000001E-3</v>
      </c>
      <c r="O43" s="4" t="s">
        <v>2415</v>
      </c>
      <c r="Q43" s="4" t="s">
        <v>292</v>
      </c>
      <c r="Y43" s="11"/>
      <c r="AB43" s="6">
        <v>44714</v>
      </c>
      <c r="AC43" s="6">
        <v>45034</v>
      </c>
      <c r="AD43" s="6">
        <v>44734</v>
      </c>
    </row>
    <row r="44" spans="1:30" x14ac:dyDescent="0.35">
      <c r="A44" s="7" t="s">
        <v>293</v>
      </c>
      <c r="B44" s="4" t="s">
        <v>294</v>
      </c>
      <c r="D44" s="4" t="s">
        <v>295</v>
      </c>
      <c r="K44" s="4" t="s">
        <v>296</v>
      </c>
      <c r="L44" s="4" t="s">
        <v>297</v>
      </c>
    </row>
    <row r="45" spans="1:30" x14ac:dyDescent="0.35">
      <c r="A45" s="7" t="s">
        <v>298</v>
      </c>
      <c r="B45" s="4" t="s">
        <v>299</v>
      </c>
      <c r="D45" s="4" t="s">
        <v>300</v>
      </c>
      <c r="G45" s="4" t="s">
        <v>73</v>
      </c>
      <c r="H45" s="4">
        <v>4</v>
      </c>
      <c r="K45" s="4" t="s">
        <v>133</v>
      </c>
      <c r="L45" s="4" t="s">
        <v>92</v>
      </c>
      <c r="M45" s="4" t="s">
        <v>134</v>
      </c>
      <c r="N45" s="4">
        <f>0.1/1000</f>
        <v>1E-4</v>
      </c>
      <c r="O45" s="4" t="s">
        <v>104</v>
      </c>
      <c r="Q45" s="4" t="s">
        <v>104</v>
      </c>
      <c r="R45" s="4" t="s">
        <v>44</v>
      </c>
      <c r="S45" s="4" t="s">
        <v>52</v>
      </c>
      <c r="V45" s="4" t="s">
        <v>301</v>
      </c>
      <c r="W45" s="4" t="s">
        <v>2528</v>
      </c>
      <c r="Y45" s="4" t="s">
        <v>2529</v>
      </c>
      <c r="AB45" s="6">
        <v>44715</v>
      </c>
      <c r="AC45" s="6"/>
      <c r="AD45" s="6">
        <v>44734</v>
      </c>
    </row>
    <row r="46" spans="1:30" x14ac:dyDescent="0.35">
      <c r="A46" s="7" t="s">
        <v>302</v>
      </c>
      <c r="B46" s="4" t="s">
        <v>303</v>
      </c>
      <c r="D46" s="4" t="s">
        <v>304</v>
      </c>
      <c r="E46" s="4" t="s">
        <v>305</v>
      </c>
      <c r="G46" s="4" t="s">
        <v>100</v>
      </c>
      <c r="H46" s="4">
        <v>15</v>
      </c>
      <c r="I46" s="4" t="s">
        <v>306</v>
      </c>
      <c r="K46" s="4" t="s">
        <v>307</v>
      </c>
      <c r="L46" s="4" t="s">
        <v>92</v>
      </c>
      <c r="M46" s="4" t="s">
        <v>103</v>
      </c>
      <c r="N46" s="4">
        <f>13.66/1000</f>
        <v>1.366E-2</v>
      </c>
      <c r="O46" s="4" t="s">
        <v>104</v>
      </c>
      <c r="Q46" s="4" t="s">
        <v>104</v>
      </c>
      <c r="V46" s="4" t="s">
        <v>308</v>
      </c>
      <c r="W46" s="4" t="s">
        <v>309</v>
      </c>
      <c r="X46" s="4" t="s">
        <v>310</v>
      </c>
      <c r="Y46" s="4" t="s">
        <v>311</v>
      </c>
      <c r="AB46" s="6">
        <v>44715</v>
      </c>
      <c r="AC46" s="6"/>
      <c r="AD46" s="6">
        <v>45034</v>
      </c>
    </row>
    <row r="47" spans="1:30" x14ac:dyDescent="0.35">
      <c r="A47" s="7" t="s">
        <v>312</v>
      </c>
      <c r="B47" s="4" t="s">
        <v>313</v>
      </c>
      <c r="D47" s="4" t="s">
        <v>314</v>
      </c>
      <c r="G47" s="4" t="s">
        <v>73</v>
      </c>
      <c r="H47" s="4">
        <v>2</v>
      </c>
      <c r="I47" s="4" t="s">
        <v>315</v>
      </c>
      <c r="K47" s="4" t="s">
        <v>133</v>
      </c>
      <c r="L47" s="4" t="s">
        <v>92</v>
      </c>
      <c r="M47" s="4" t="s">
        <v>134</v>
      </c>
      <c r="O47" s="4" t="s">
        <v>104</v>
      </c>
      <c r="Q47" s="4" t="s">
        <v>104</v>
      </c>
      <c r="W47" s="4" t="s">
        <v>194</v>
      </c>
      <c r="AB47" s="6">
        <v>44715</v>
      </c>
      <c r="AC47" s="6">
        <v>45027</v>
      </c>
    </row>
    <row r="48" spans="1:30" x14ac:dyDescent="0.35">
      <c r="A48" s="7" t="s">
        <v>316</v>
      </c>
      <c r="B48" s="4" t="s">
        <v>317</v>
      </c>
      <c r="D48" s="4" t="s">
        <v>318</v>
      </c>
      <c r="E48" s="4" t="s">
        <v>319</v>
      </c>
      <c r="G48" s="4" t="s">
        <v>89</v>
      </c>
      <c r="H48" s="4">
        <v>0.15</v>
      </c>
      <c r="K48" s="4" t="s">
        <v>133</v>
      </c>
      <c r="L48" s="4" t="s">
        <v>92</v>
      </c>
      <c r="M48" s="4" t="s">
        <v>154</v>
      </c>
      <c r="N48" s="4">
        <f>0.12/1000</f>
        <v>1.1999999999999999E-4</v>
      </c>
      <c r="O48" s="4" t="s">
        <v>2415</v>
      </c>
      <c r="Q48" s="4" t="s">
        <v>52</v>
      </c>
      <c r="W48" s="4" t="s">
        <v>2430</v>
      </c>
      <c r="X48" s="4" t="s">
        <v>320</v>
      </c>
      <c r="Y48" s="4" t="s">
        <v>2431</v>
      </c>
      <c r="AB48" s="6">
        <v>44715</v>
      </c>
      <c r="AC48" s="6"/>
      <c r="AD48" s="6">
        <v>45034</v>
      </c>
    </row>
    <row r="49" spans="1:30" x14ac:dyDescent="0.35">
      <c r="A49" s="7" t="s">
        <v>321</v>
      </c>
      <c r="B49" s="4" t="s">
        <v>322</v>
      </c>
      <c r="D49" s="4" t="s">
        <v>323</v>
      </c>
      <c r="E49" s="4" t="s">
        <v>324</v>
      </c>
      <c r="G49" s="4" t="s">
        <v>73</v>
      </c>
      <c r="H49" s="4">
        <v>4</v>
      </c>
      <c r="I49" s="4" t="s">
        <v>325</v>
      </c>
      <c r="K49" s="4" t="s">
        <v>112</v>
      </c>
      <c r="L49" s="4" t="s">
        <v>33</v>
      </c>
      <c r="M49" s="4" t="s">
        <v>33</v>
      </c>
      <c r="N49" s="4">
        <f>8.45/1000</f>
        <v>8.4499999999999992E-3</v>
      </c>
      <c r="O49" s="4" t="s">
        <v>52</v>
      </c>
      <c r="Q49" s="4" t="s">
        <v>52</v>
      </c>
      <c r="W49" s="4" t="s">
        <v>2514</v>
      </c>
      <c r="X49" s="4" t="s">
        <v>2513</v>
      </c>
      <c r="Y49" s="4" t="s">
        <v>326</v>
      </c>
      <c r="AB49" s="6">
        <v>45093</v>
      </c>
      <c r="AC49" s="6">
        <v>45093</v>
      </c>
      <c r="AD49" s="6">
        <v>45093</v>
      </c>
    </row>
    <row r="50" spans="1:30" x14ac:dyDescent="0.35">
      <c r="A50" s="7" t="s">
        <v>327</v>
      </c>
      <c r="B50" s="4" t="s">
        <v>328</v>
      </c>
      <c r="D50" s="4" t="s">
        <v>329</v>
      </c>
      <c r="E50" s="4" t="s">
        <v>330</v>
      </c>
      <c r="G50" s="4" t="s">
        <v>73</v>
      </c>
      <c r="H50" s="4">
        <v>7</v>
      </c>
      <c r="I50" s="4" t="s">
        <v>331</v>
      </c>
      <c r="J50" s="4" t="s">
        <v>8</v>
      </c>
      <c r="K50" s="4" t="s">
        <v>112</v>
      </c>
      <c r="L50" s="4" t="s">
        <v>33</v>
      </c>
      <c r="M50" s="4" t="s">
        <v>33</v>
      </c>
      <c r="N50" s="4">
        <f>42.2/1000</f>
        <v>4.2200000000000001E-2</v>
      </c>
      <c r="O50" s="4" t="s">
        <v>52</v>
      </c>
      <c r="Q50" s="4" t="s">
        <v>52</v>
      </c>
      <c r="W50" s="4" t="s">
        <v>332</v>
      </c>
      <c r="X50" s="4" t="s">
        <v>333</v>
      </c>
      <c r="AB50" s="6">
        <v>45093</v>
      </c>
    </row>
    <row r="51" spans="1:30" x14ac:dyDescent="0.35">
      <c r="A51" s="7" t="s">
        <v>334</v>
      </c>
      <c r="B51" s="4" t="s">
        <v>335</v>
      </c>
      <c r="D51" s="4" t="s">
        <v>336</v>
      </c>
      <c r="G51" s="4" t="s">
        <v>100</v>
      </c>
      <c r="H51" s="4">
        <v>25</v>
      </c>
      <c r="I51" s="4" t="s">
        <v>337</v>
      </c>
      <c r="K51" s="4" t="s">
        <v>182</v>
      </c>
      <c r="L51" s="4" t="s">
        <v>92</v>
      </c>
      <c r="M51" s="4" t="s">
        <v>103</v>
      </c>
      <c r="N51" s="4">
        <f>0.6/1000</f>
        <v>5.9999999999999995E-4</v>
      </c>
      <c r="O51" s="4" t="s">
        <v>104</v>
      </c>
      <c r="Q51" s="4" t="s">
        <v>104</v>
      </c>
      <c r="R51" s="4" t="s">
        <v>105</v>
      </c>
      <c r="S51" s="4" t="s">
        <v>52</v>
      </c>
      <c r="W51" s="4" t="s">
        <v>2437</v>
      </c>
      <c r="X51" s="4" t="s">
        <v>2299</v>
      </c>
      <c r="Y51" s="4" t="s">
        <v>2438</v>
      </c>
      <c r="AB51" s="6">
        <v>44715</v>
      </c>
      <c r="AC51" s="6">
        <v>45034</v>
      </c>
      <c r="AD51" s="6">
        <v>44731</v>
      </c>
    </row>
    <row r="52" spans="1:30" x14ac:dyDescent="0.35">
      <c r="A52" s="7" t="s">
        <v>338</v>
      </c>
      <c r="B52" s="4" t="s">
        <v>339</v>
      </c>
      <c r="D52" s="4" t="s">
        <v>340</v>
      </c>
      <c r="G52" s="4" t="s">
        <v>89</v>
      </c>
      <c r="H52" s="4">
        <v>2</v>
      </c>
      <c r="I52" s="4" t="s">
        <v>341</v>
      </c>
      <c r="J52" s="4" t="s">
        <v>8</v>
      </c>
      <c r="K52" s="4" t="s">
        <v>133</v>
      </c>
      <c r="L52" s="4" t="s">
        <v>92</v>
      </c>
      <c r="M52" s="4" t="s">
        <v>342</v>
      </c>
      <c r="N52" s="4">
        <f>4.93/1000</f>
        <v>4.9299999999999995E-3</v>
      </c>
      <c r="O52" s="4" t="s">
        <v>105</v>
      </c>
      <c r="Q52" s="4" t="s">
        <v>105</v>
      </c>
      <c r="R52" s="4" t="s">
        <v>44</v>
      </c>
      <c r="S52" s="4" t="s">
        <v>52</v>
      </c>
      <c r="T52" s="4" t="s">
        <v>2088</v>
      </c>
      <c r="W52" s="4" t="s">
        <v>2634</v>
      </c>
      <c r="X52" s="10" t="s">
        <v>343</v>
      </c>
      <c r="Y52" s="4" t="s">
        <v>2635</v>
      </c>
      <c r="AB52" s="6">
        <v>44715</v>
      </c>
      <c r="AC52" s="6">
        <v>45034</v>
      </c>
      <c r="AD52" s="6">
        <v>44731</v>
      </c>
    </row>
    <row r="53" spans="1:30" x14ac:dyDescent="0.35">
      <c r="A53" s="7" t="s">
        <v>2170</v>
      </c>
      <c r="B53" s="4" t="s">
        <v>344</v>
      </c>
      <c r="E53" s="4" t="s">
        <v>345</v>
      </c>
      <c r="F53" s="4" t="s">
        <v>110</v>
      </c>
      <c r="G53" s="4" t="s">
        <v>73</v>
      </c>
      <c r="I53" s="4" t="s">
        <v>346</v>
      </c>
      <c r="K53" s="4" t="s">
        <v>347</v>
      </c>
      <c r="L53" s="4" t="s">
        <v>33</v>
      </c>
      <c r="M53" s="4" t="s">
        <v>33</v>
      </c>
      <c r="O53" s="4" t="s">
        <v>52</v>
      </c>
      <c r="Q53" s="4" t="s">
        <v>52</v>
      </c>
      <c r="Z53" s="4" t="s">
        <v>2566</v>
      </c>
      <c r="AB53" s="6">
        <v>44715</v>
      </c>
      <c r="AC53" s="6"/>
    </row>
    <row r="54" spans="1:30" x14ac:dyDescent="0.35">
      <c r="A54" s="7" t="s">
        <v>348</v>
      </c>
      <c r="B54" s="4" t="s">
        <v>349</v>
      </c>
      <c r="D54" s="4" t="s">
        <v>350</v>
      </c>
      <c r="F54" s="4" t="s">
        <v>151</v>
      </c>
      <c r="G54" s="4" t="s">
        <v>89</v>
      </c>
      <c r="H54" s="4">
        <v>0.8</v>
      </c>
      <c r="I54" s="4" t="s">
        <v>351</v>
      </c>
      <c r="K54" s="4" t="s">
        <v>153</v>
      </c>
      <c r="L54" s="4" t="s">
        <v>92</v>
      </c>
      <c r="M54" s="4" t="s">
        <v>352</v>
      </c>
      <c r="N54" s="4">
        <f>3/1000</f>
        <v>3.0000000000000001E-3</v>
      </c>
      <c r="O54" s="4" t="s">
        <v>105</v>
      </c>
      <c r="Q54" s="4" t="s">
        <v>105</v>
      </c>
      <c r="R54" s="4" t="s">
        <v>2071</v>
      </c>
      <c r="S54" s="4" t="s">
        <v>52</v>
      </c>
      <c r="W54" s="4" t="s">
        <v>2556</v>
      </c>
      <c r="X54" s="10" t="s">
        <v>353</v>
      </c>
      <c r="Y54" s="4" t="s">
        <v>2557</v>
      </c>
      <c r="AB54" s="6">
        <v>44715</v>
      </c>
      <c r="AC54" s="6"/>
      <c r="AD54" s="6">
        <v>44731</v>
      </c>
    </row>
    <row r="55" spans="1:30" x14ac:dyDescent="0.35">
      <c r="A55" s="7" t="s">
        <v>354</v>
      </c>
      <c r="B55" s="4" t="s">
        <v>355</v>
      </c>
      <c r="C55" s="4" t="s">
        <v>356</v>
      </c>
      <c r="D55" s="4" t="s">
        <v>357</v>
      </c>
      <c r="E55" s="4" t="s">
        <v>358</v>
      </c>
      <c r="F55" s="4" t="s">
        <v>110</v>
      </c>
      <c r="G55" s="4" t="s">
        <v>73</v>
      </c>
      <c r="H55" s="4">
        <v>6</v>
      </c>
      <c r="I55" s="4" t="s">
        <v>359</v>
      </c>
      <c r="J55" s="4" t="s">
        <v>8</v>
      </c>
      <c r="K55" s="4" t="s">
        <v>112</v>
      </c>
      <c r="L55" s="4" t="s">
        <v>33</v>
      </c>
      <c r="M55" s="4" t="s">
        <v>33</v>
      </c>
      <c r="N55" s="4">
        <f>22.47/1000</f>
        <v>2.247E-2</v>
      </c>
      <c r="O55" s="4" t="s">
        <v>52</v>
      </c>
      <c r="Q55" s="4" t="s">
        <v>52</v>
      </c>
      <c r="W55" s="4" t="s">
        <v>2300</v>
      </c>
      <c r="X55" s="4" t="s">
        <v>360</v>
      </c>
      <c r="Y55" s="4" t="s">
        <v>361</v>
      </c>
      <c r="AC55" s="6">
        <v>45093</v>
      </c>
      <c r="AD55" s="6">
        <v>45093</v>
      </c>
    </row>
    <row r="56" spans="1:30" x14ac:dyDescent="0.35">
      <c r="A56" s="7" t="s">
        <v>365</v>
      </c>
      <c r="B56" s="4" t="s">
        <v>366</v>
      </c>
      <c r="D56" s="4" t="s">
        <v>367</v>
      </c>
      <c r="G56" s="4" t="s">
        <v>73</v>
      </c>
      <c r="H56" s="4">
        <v>3</v>
      </c>
      <c r="I56" s="4" t="s">
        <v>368</v>
      </c>
      <c r="J56" s="4" t="s">
        <v>8</v>
      </c>
      <c r="K56" s="4" t="s">
        <v>91</v>
      </c>
      <c r="L56" s="4" t="s">
        <v>92</v>
      </c>
      <c r="M56" s="4" t="s">
        <v>103</v>
      </c>
      <c r="N56" s="4">
        <f>0.1/1000</f>
        <v>1E-4</v>
      </c>
      <c r="O56" s="4" t="s">
        <v>104</v>
      </c>
      <c r="Q56" s="4" t="s">
        <v>104</v>
      </c>
      <c r="R56" s="4" t="s">
        <v>44</v>
      </c>
      <c r="W56" s="4" t="s">
        <v>2558</v>
      </c>
      <c r="X56" s="4" t="s">
        <v>369</v>
      </c>
      <c r="Y56" s="4" t="s">
        <v>2416</v>
      </c>
      <c r="AB56" s="6">
        <v>44715</v>
      </c>
      <c r="AC56" s="6"/>
      <c r="AD56" s="6">
        <v>44731</v>
      </c>
    </row>
    <row r="57" spans="1:30" x14ac:dyDescent="0.35">
      <c r="A57" s="7" t="s">
        <v>370</v>
      </c>
      <c r="B57" s="4" t="s">
        <v>371</v>
      </c>
      <c r="D57" s="4" t="s">
        <v>372</v>
      </c>
      <c r="E57" s="4" t="s">
        <v>373</v>
      </c>
      <c r="K57" s="4" t="s">
        <v>112</v>
      </c>
      <c r="L57" s="4" t="s">
        <v>33</v>
      </c>
      <c r="AA57" s="4" t="s">
        <v>154</v>
      </c>
      <c r="AB57" s="6">
        <v>44731</v>
      </c>
      <c r="AC57" s="6"/>
    </row>
    <row r="58" spans="1:30" x14ac:dyDescent="0.35">
      <c r="A58" s="7" t="s">
        <v>2336</v>
      </c>
      <c r="B58" s="4" t="s">
        <v>2337</v>
      </c>
      <c r="C58" s="4" t="s">
        <v>374</v>
      </c>
      <c r="D58" s="4" t="s">
        <v>375</v>
      </c>
      <c r="E58" s="4" t="s">
        <v>376</v>
      </c>
      <c r="G58" s="4" t="s">
        <v>73</v>
      </c>
      <c r="H58" s="4">
        <v>15</v>
      </c>
      <c r="I58" s="4" t="s">
        <v>377</v>
      </c>
      <c r="K58" s="4" t="s">
        <v>378</v>
      </c>
      <c r="L58" s="4" t="s">
        <v>92</v>
      </c>
      <c r="M58" s="4" t="s">
        <v>154</v>
      </c>
      <c r="N58" s="4">
        <f>1244.9/1000</f>
        <v>1.2449000000000001</v>
      </c>
      <c r="O58" s="4" t="s">
        <v>2415</v>
      </c>
      <c r="Q58" s="4" t="s">
        <v>44</v>
      </c>
      <c r="R58" s="4" t="s">
        <v>2071</v>
      </c>
      <c r="W58" s="4" t="s">
        <v>2419</v>
      </c>
      <c r="X58" s="4" t="s">
        <v>379</v>
      </c>
      <c r="Y58" s="4" t="s">
        <v>2417</v>
      </c>
      <c r="AB58" s="6">
        <v>44715</v>
      </c>
      <c r="AC58" s="6"/>
      <c r="AD58" s="6">
        <v>45034</v>
      </c>
    </row>
    <row r="59" spans="1:30" x14ac:dyDescent="0.35">
      <c r="A59" s="7" t="s">
        <v>380</v>
      </c>
      <c r="B59" s="4" t="s">
        <v>381</v>
      </c>
      <c r="C59" s="4" t="s">
        <v>382</v>
      </c>
      <c r="D59" s="4" t="s">
        <v>383</v>
      </c>
      <c r="E59" s="4" t="s">
        <v>384</v>
      </c>
      <c r="G59" s="4" t="s">
        <v>100</v>
      </c>
      <c r="H59" s="4">
        <v>7</v>
      </c>
      <c r="I59" s="4" t="s">
        <v>385</v>
      </c>
      <c r="K59" s="4" t="s">
        <v>378</v>
      </c>
      <c r="L59" s="4" t="s">
        <v>92</v>
      </c>
      <c r="M59" s="4" t="s">
        <v>154</v>
      </c>
      <c r="O59" s="4" t="s">
        <v>2415</v>
      </c>
      <c r="Q59" s="4" t="s">
        <v>292</v>
      </c>
      <c r="W59" s="4" t="s">
        <v>2418</v>
      </c>
      <c r="X59" s="4" t="s">
        <v>177</v>
      </c>
      <c r="Y59" s="4" t="s">
        <v>386</v>
      </c>
      <c r="AB59" s="6">
        <v>44715</v>
      </c>
      <c r="AC59" s="6"/>
    </row>
    <row r="60" spans="1:30" x14ac:dyDescent="0.35">
      <c r="A60" s="7" t="s">
        <v>387</v>
      </c>
      <c r="B60" s="4" t="s">
        <v>388</v>
      </c>
      <c r="D60" s="4" t="s">
        <v>389</v>
      </c>
      <c r="G60" s="4" t="s">
        <v>73</v>
      </c>
      <c r="H60" s="4">
        <v>0.5</v>
      </c>
      <c r="I60" s="4" t="s">
        <v>390</v>
      </c>
      <c r="J60" s="4" t="s">
        <v>8</v>
      </c>
      <c r="K60" s="4" t="s">
        <v>91</v>
      </c>
      <c r="L60" s="4" t="s">
        <v>92</v>
      </c>
      <c r="M60" s="4" t="s">
        <v>154</v>
      </c>
      <c r="N60" s="4">
        <f>0.03/1000</f>
        <v>2.9999999999999997E-5</v>
      </c>
      <c r="O60" s="4" t="s">
        <v>2415</v>
      </c>
      <c r="Q60" s="4" t="s">
        <v>2071</v>
      </c>
      <c r="R60" s="4" t="s">
        <v>52</v>
      </c>
      <c r="S60" s="4" t="s">
        <v>105</v>
      </c>
      <c r="V60" s="4" t="s">
        <v>391</v>
      </c>
      <c r="W60" s="4" t="s">
        <v>2439</v>
      </c>
      <c r="X60" s="4" t="s">
        <v>2365</v>
      </c>
      <c r="Y60" s="4" t="s">
        <v>2559</v>
      </c>
      <c r="AB60" s="6">
        <v>44715</v>
      </c>
      <c r="AC60" s="6">
        <v>45034</v>
      </c>
      <c r="AD60" s="6">
        <v>44732</v>
      </c>
    </row>
    <row r="61" spans="1:30" x14ac:dyDescent="0.35">
      <c r="A61" s="7" t="s">
        <v>2171</v>
      </c>
      <c r="B61" s="4" t="s">
        <v>392</v>
      </c>
      <c r="C61" s="4" t="s">
        <v>393</v>
      </c>
      <c r="D61" s="4" t="s">
        <v>394</v>
      </c>
      <c r="E61" s="4" t="s">
        <v>395</v>
      </c>
      <c r="F61" s="4" t="s">
        <v>110</v>
      </c>
      <c r="G61" s="4" t="s">
        <v>73</v>
      </c>
      <c r="I61" s="4" t="s">
        <v>396</v>
      </c>
      <c r="J61" s="4" t="s">
        <v>8</v>
      </c>
      <c r="K61" s="4" t="s">
        <v>91</v>
      </c>
      <c r="L61" s="4" t="s">
        <v>92</v>
      </c>
      <c r="M61" s="4" t="s">
        <v>154</v>
      </c>
      <c r="N61" s="4">
        <f>21.256/1000</f>
        <v>2.1256000000000001E-2</v>
      </c>
      <c r="O61" s="4" t="s">
        <v>2415</v>
      </c>
      <c r="Q61" s="4" t="s">
        <v>292</v>
      </c>
      <c r="W61" s="4" t="s">
        <v>118</v>
      </c>
      <c r="X61" s="4" t="s">
        <v>397</v>
      </c>
      <c r="Y61" s="4" t="s">
        <v>398</v>
      </c>
      <c r="AB61" s="6">
        <v>44715</v>
      </c>
      <c r="AC61" s="6">
        <v>45034</v>
      </c>
      <c r="AD61" s="6">
        <v>44732</v>
      </c>
    </row>
    <row r="62" spans="1:30" x14ac:dyDescent="0.35">
      <c r="A62" s="7" t="s">
        <v>399</v>
      </c>
      <c r="B62" s="4" t="s">
        <v>400</v>
      </c>
      <c r="D62" s="4" t="s">
        <v>401</v>
      </c>
      <c r="G62" s="4" t="s">
        <v>89</v>
      </c>
      <c r="H62" s="4">
        <v>2</v>
      </c>
      <c r="I62" s="4" t="s">
        <v>402</v>
      </c>
      <c r="J62" s="4" t="s">
        <v>8</v>
      </c>
      <c r="K62" s="4" t="s">
        <v>91</v>
      </c>
      <c r="L62" s="4" t="s">
        <v>92</v>
      </c>
      <c r="M62" s="4" t="s">
        <v>154</v>
      </c>
      <c r="N62" s="4">
        <f>155.15/1000</f>
        <v>0.15515000000000001</v>
      </c>
      <c r="O62" s="4" t="s">
        <v>2415</v>
      </c>
      <c r="Q62" s="4" t="s">
        <v>292</v>
      </c>
      <c r="W62" s="4" t="s">
        <v>118</v>
      </c>
      <c r="X62" s="4" t="s">
        <v>397</v>
      </c>
      <c r="AB62" s="6">
        <v>44715</v>
      </c>
      <c r="AC62" s="6">
        <v>45034</v>
      </c>
      <c r="AD62" s="6">
        <v>45034</v>
      </c>
    </row>
    <row r="63" spans="1:30" x14ac:dyDescent="0.35">
      <c r="A63" s="7" t="s">
        <v>403</v>
      </c>
      <c r="B63" s="4" t="s">
        <v>404</v>
      </c>
      <c r="D63" s="4" t="s">
        <v>405</v>
      </c>
      <c r="G63" s="4" t="s">
        <v>89</v>
      </c>
      <c r="H63" s="4">
        <v>0.3</v>
      </c>
      <c r="I63" s="4" t="s">
        <v>406</v>
      </c>
      <c r="J63" s="4" t="s">
        <v>8</v>
      </c>
      <c r="K63" s="4" t="s">
        <v>407</v>
      </c>
      <c r="L63" s="4" t="s">
        <v>92</v>
      </c>
      <c r="M63" s="4" t="s">
        <v>408</v>
      </c>
      <c r="N63" s="4">
        <f>0.69/1000</f>
        <v>6.8999999999999997E-4</v>
      </c>
      <c r="O63" s="4" t="s">
        <v>44</v>
      </c>
      <c r="Q63" s="4" t="s">
        <v>44</v>
      </c>
      <c r="W63" s="4" t="s">
        <v>409</v>
      </c>
      <c r="Y63" s="4" t="s">
        <v>2560</v>
      </c>
      <c r="AB63" s="6">
        <v>44715</v>
      </c>
      <c r="AC63" s="6">
        <v>45034</v>
      </c>
      <c r="AD63" s="6">
        <v>44732</v>
      </c>
    </row>
    <row r="64" spans="1:30" x14ac:dyDescent="0.35">
      <c r="A64" s="7" t="s">
        <v>410</v>
      </c>
      <c r="B64" s="4" t="s">
        <v>411</v>
      </c>
      <c r="D64" s="4" t="s">
        <v>412</v>
      </c>
      <c r="G64" s="4" t="s">
        <v>89</v>
      </c>
      <c r="H64" s="4">
        <v>0.6</v>
      </c>
      <c r="K64" s="4" t="s">
        <v>407</v>
      </c>
      <c r="L64" s="4" t="s">
        <v>92</v>
      </c>
      <c r="M64" s="4" t="s">
        <v>154</v>
      </c>
      <c r="N64" s="4">
        <f>1.36/1000</f>
        <v>1.3600000000000001E-3</v>
      </c>
      <c r="O64" s="4" t="s">
        <v>2415</v>
      </c>
      <c r="Q64" s="4" t="s">
        <v>292</v>
      </c>
      <c r="AB64" s="6">
        <v>44715</v>
      </c>
      <c r="AC64" s="6"/>
      <c r="AD64" s="6">
        <v>44732</v>
      </c>
    </row>
    <row r="65" spans="1:30" x14ac:dyDescent="0.35">
      <c r="A65" s="7" t="s">
        <v>413</v>
      </c>
      <c r="B65" s="4" t="s">
        <v>414</v>
      </c>
      <c r="D65" s="4" t="s">
        <v>415</v>
      </c>
      <c r="G65" s="4" t="s">
        <v>89</v>
      </c>
      <c r="H65" s="4">
        <v>0.6</v>
      </c>
      <c r="I65" s="4" t="s">
        <v>416</v>
      </c>
      <c r="K65" s="4" t="s">
        <v>407</v>
      </c>
      <c r="L65" s="4" t="s">
        <v>92</v>
      </c>
      <c r="M65" s="4" t="s">
        <v>154</v>
      </c>
      <c r="N65" s="4">
        <f>2.51/1000</f>
        <v>2.5099999999999996E-3</v>
      </c>
      <c r="O65" s="4" t="s">
        <v>2415</v>
      </c>
      <c r="Q65" s="4" t="s">
        <v>52</v>
      </c>
      <c r="W65" s="4" t="s">
        <v>2440</v>
      </c>
      <c r="X65" s="4" t="s">
        <v>417</v>
      </c>
      <c r="Y65" s="4" t="s">
        <v>2441</v>
      </c>
      <c r="AB65" s="6">
        <v>44715</v>
      </c>
      <c r="AC65" s="6">
        <v>45034</v>
      </c>
      <c r="AD65" s="6">
        <v>44732</v>
      </c>
    </row>
    <row r="66" spans="1:30" x14ac:dyDescent="0.35">
      <c r="A66" s="7" t="s">
        <v>418</v>
      </c>
      <c r="B66" s="4" t="s">
        <v>419</v>
      </c>
      <c r="D66" s="4" t="s">
        <v>420</v>
      </c>
      <c r="G66" s="4" t="s">
        <v>89</v>
      </c>
      <c r="H66" s="4">
        <v>0.5</v>
      </c>
      <c r="K66" s="4" t="s">
        <v>407</v>
      </c>
      <c r="L66" s="4" t="s">
        <v>92</v>
      </c>
      <c r="M66" s="4" t="s">
        <v>154</v>
      </c>
      <c r="N66" s="4">
        <f>0.9/1000</f>
        <v>8.9999999999999998E-4</v>
      </c>
      <c r="O66" s="4" t="s">
        <v>2415</v>
      </c>
      <c r="Q66" s="4" t="s">
        <v>52</v>
      </c>
      <c r="R66" s="4" t="s">
        <v>44</v>
      </c>
      <c r="S66" s="4" t="s">
        <v>105</v>
      </c>
      <c r="W66" s="4" t="s">
        <v>2442</v>
      </c>
      <c r="X66" s="4" t="s">
        <v>2561</v>
      </c>
      <c r="Y66" s="4" t="s">
        <v>2443</v>
      </c>
      <c r="AB66" s="6">
        <v>44715</v>
      </c>
      <c r="AC66" s="6"/>
      <c r="AD66" s="6">
        <v>44732</v>
      </c>
    </row>
    <row r="67" spans="1:30" x14ac:dyDescent="0.35">
      <c r="A67" s="7" t="s">
        <v>421</v>
      </c>
      <c r="B67" s="4" t="s">
        <v>422</v>
      </c>
      <c r="C67" s="4" t="s">
        <v>423</v>
      </c>
      <c r="D67" s="4" t="s">
        <v>424</v>
      </c>
      <c r="G67" s="4" t="s">
        <v>89</v>
      </c>
      <c r="H67" s="4">
        <v>0.6</v>
      </c>
      <c r="I67" s="4" t="s">
        <v>425</v>
      </c>
      <c r="K67" s="4" t="s">
        <v>407</v>
      </c>
      <c r="L67" s="4" t="s">
        <v>92</v>
      </c>
      <c r="M67" s="4" t="s">
        <v>154</v>
      </c>
      <c r="N67" s="4">
        <f>0.63/1000</f>
        <v>6.3000000000000003E-4</v>
      </c>
      <c r="O67" s="4" t="s">
        <v>2415</v>
      </c>
      <c r="Q67" s="4" t="s">
        <v>52</v>
      </c>
      <c r="W67" s="4" t="s">
        <v>2470</v>
      </c>
      <c r="X67" s="4" t="s">
        <v>2562</v>
      </c>
      <c r="Z67" s="4" t="s">
        <v>2050</v>
      </c>
      <c r="AB67" s="6">
        <v>44715</v>
      </c>
      <c r="AC67" s="6">
        <v>45034</v>
      </c>
      <c r="AD67" s="6">
        <v>44732</v>
      </c>
    </row>
    <row r="68" spans="1:30" x14ac:dyDescent="0.35">
      <c r="A68" s="7" t="s">
        <v>2172</v>
      </c>
      <c r="B68" s="4" t="s">
        <v>426</v>
      </c>
      <c r="C68" s="4" t="s">
        <v>427</v>
      </c>
      <c r="D68" s="4" t="s">
        <v>428</v>
      </c>
      <c r="G68" s="4" t="s">
        <v>89</v>
      </c>
      <c r="H68" s="4">
        <v>0.9</v>
      </c>
      <c r="I68" s="4" t="s">
        <v>429</v>
      </c>
      <c r="K68" s="4" t="s">
        <v>407</v>
      </c>
      <c r="L68" s="4" t="s">
        <v>92</v>
      </c>
      <c r="M68" s="4" t="s">
        <v>154</v>
      </c>
      <c r="N68" s="4">
        <f>1.7/1000</f>
        <v>1.6999999999999999E-3</v>
      </c>
      <c r="O68" s="4" t="s">
        <v>2415</v>
      </c>
      <c r="Q68" s="4" t="s">
        <v>2071</v>
      </c>
      <c r="R68" s="4" t="s">
        <v>105</v>
      </c>
      <c r="W68" s="4" t="s">
        <v>430</v>
      </c>
      <c r="X68" s="4" t="s">
        <v>431</v>
      </c>
      <c r="AB68" s="6">
        <v>44715</v>
      </c>
      <c r="AC68" s="6">
        <v>45034</v>
      </c>
      <c r="AD68" s="6">
        <v>44732</v>
      </c>
    </row>
    <row r="69" spans="1:30" x14ac:dyDescent="0.35">
      <c r="A69" s="7" t="s">
        <v>432</v>
      </c>
      <c r="B69" s="4" t="s">
        <v>433</v>
      </c>
      <c r="D69" s="4" t="s">
        <v>434</v>
      </c>
      <c r="G69" s="4" t="s">
        <v>89</v>
      </c>
      <c r="H69" s="4">
        <v>0.9</v>
      </c>
      <c r="I69" s="4" t="s">
        <v>435</v>
      </c>
      <c r="K69" s="4" t="s">
        <v>407</v>
      </c>
      <c r="L69" s="4" t="s">
        <v>92</v>
      </c>
      <c r="M69" s="4" t="s">
        <v>154</v>
      </c>
      <c r="N69" s="4">
        <f>1.162/1000</f>
        <v>1.1619999999999998E-3</v>
      </c>
      <c r="O69" s="4" t="s">
        <v>2415</v>
      </c>
      <c r="Q69" s="4" t="s">
        <v>52</v>
      </c>
      <c r="W69" s="4" t="s">
        <v>25</v>
      </c>
      <c r="X69" s="4" t="s">
        <v>2563</v>
      </c>
      <c r="Z69" s="4" t="s">
        <v>2566</v>
      </c>
      <c r="AB69" s="6">
        <v>44715</v>
      </c>
      <c r="AC69" s="6">
        <v>45034</v>
      </c>
      <c r="AD69" s="6">
        <v>44732</v>
      </c>
    </row>
    <row r="70" spans="1:30" x14ac:dyDescent="0.35">
      <c r="A70" s="7" t="s">
        <v>436</v>
      </c>
      <c r="B70" s="4" t="s">
        <v>437</v>
      </c>
      <c r="G70" s="4" t="s">
        <v>89</v>
      </c>
      <c r="H70" s="4">
        <v>2.5</v>
      </c>
      <c r="K70" s="4" t="s">
        <v>407</v>
      </c>
      <c r="L70" s="4" t="s">
        <v>92</v>
      </c>
      <c r="M70" s="4" t="s">
        <v>154</v>
      </c>
      <c r="N70" s="4">
        <f>0.75/1000</f>
        <v>7.5000000000000002E-4</v>
      </c>
      <c r="O70" s="4" t="s">
        <v>2415</v>
      </c>
      <c r="Q70" s="4" t="s">
        <v>292</v>
      </c>
      <c r="Z70" s="4" t="s">
        <v>2566</v>
      </c>
      <c r="AB70" s="6">
        <v>44715</v>
      </c>
      <c r="AC70" s="6"/>
      <c r="AD70" s="6">
        <v>44732</v>
      </c>
    </row>
    <row r="71" spans="1:30" x14ac:dyDescent="0.35">
      <c r="A71" s="7" t="s">
        <v>438</v>
      </c>
      <c r="B71" s="4" t="s">
        <v>439</v>
      </c>
      <c r="G71" s="4" t="s">
        <v>89</v>
      </c>
      <c r="H71" s="4">
        <v>0.9</v>
      </c>
      <c r="I71" s="4" t="s">
        <v>440</v>
      </c>
      <c r="K71" s="4" t="s">
        <v>407</v>
      </c>
      <c r="L71" s="4" t="s">
        <v>92</v>
      </c>
      <c r="M71" s="4" t="s">
        <v>154</v>
      </c>
      <c r="N71" s="4">
        <f>0.4372/1000</f>
        <v>4.372E-4</v>
      </c>
      <c r="O71" s="4" t="s">
        <v>2415</v>
      </c>
      <c r="Q71" s="4" t="s">
        <v>52</v>
      </c>
      <c r="R71" s="4" t="s">
        <v>2088</v>
      </c>
      <c r="W71" s="4" t="s">
        <v>2638</v>
      </c>
      <c r="X71" s="4" t="s">
        <v>441</v>
      </c>
      <c r="Y71" s="4" t="s">
        <v>2639</v>
      </c>
      <c r="Z71" s="4" t="s">
        <v>2566</v>
      </c>
      <c r="AB71" s="6">
        <v>44715</v>
      </c>
      <c r="AC71" s="6">
        <v>45034</v>
      </c>
      <c r="AD71" s="6">
        <v>44732</v>
      </c>
    </row>
    <row r="72" spans="1:30" x14ac:dyDescent="0.35">
      <c r="A72" s="7" t="s">
        <v>2173</v>
      </c>
      <c r="B72" s="4" t="s">
        <v>442</v>
      </c>
      <c r="C72" s="4" t="s">
        <v>443</v>
      </c>
      <c r="D72" s="4" t="s">
        <v>444</v>
      </c>
      <c r="E72" s="4" t="s">
        <v>445</v>
      </c>
      <c r="G72" s="4" t="s">
        <v>89</v>
      </c>
      <c r="I72" s="4" t="s">
        <v>446</v>
      </c>
      <c r="K72" s="4" t="s">
        <v>447</v>
      </c>
      <c r="L72" s="4" t="s">
        <v>33</v>
      </c>
      <c r="M72" s="4" t="s">
        <v>33</v>
      </c>
      <c r="N72" s="4">
        <f>0.34/1000</f>
        <v>3.4000000000000002E-4</v>
      </c>
      <c r="O72" s="4" t="s">
        <v>52</v>
      </c>
      <c r="Q72" s="4" t="s">
        <v>52</v>
      </c>
      <c r="W72" s="4" t="s">
        <v>2490</v>
      </c>
      <c r="Y72" s="4" t="s">
        <v>2491</v>
      </c>
      <c r="AB72" s="6">
        <v>45093</v>
      </c>
      <c r="AD72" s="6">
        <v>45093</v>
      </c>
    </row>
    <row r="73" spans="1:30" x14ac:dyDescent="0.35">
      <c r="A73" s="7" t="s">
        <v>2174</v>
      </c>
      <c r="B73" s="4" t="s">
        <v>448</v>
      </c>
      <c r="D73" s="4" t="s">
        <v>444</v>
      </c>
      <c r="E73" s="4" t="s">
        <v>445</v>
      </c>
      <c r="G73" s="4" t="s">
        <v>89</v>
      </c>
      <c r="I73" s="4" t="s">
        <v>449</v>
      </c>
      <c r="K73" s="4" t="s">
        <v>447</v>
      </c>
      <c r="L73" s="4" t="s">
        <v>33</v>
      </c>
      <c r="M73" s="4" t="s">
        <v>33</v>
      </c>
      <c r="N73" s="4">
        <f>0.37/1000</f>
        <v>3.6999999999999999E-4</v>
      </c>
      <c r="O73" s="4" t="s">
        <v>52</v>
      </c>
      <c r="Q73" s="4" t="s">
        <v>52</v>
      </c>
      <c r="W73" s="4" t="s">
        <v>2392</v>
      </c>
      <c r="Y73" s="4" t="s">
        <v>450</v>
      </c>
      <c r="AB73" s="6">
        <v>45093</v>
      </c>
      <c r="AD73" s="6">
        <v>45093</v>
      </c>
    </row>
    <row r="74" spans="1:30" x14ac:dyDescent="0.35">
      <c r="A74" s="7" t="s">
        <v>451</v>
      </c>
      <c r="B74" s="4" t="s">
        <v>452</v>
      </c>
      <c r="D74" s="4" t="s">
        <v>453</v>
      </c>
      <c r="G74" s="4" t="s">
        <v>100</v>
      </c>
      <c r="H74" s="4">
        <v>15</v>
      </c>
      <c r="K74" s="4" t="s">
        <v>307</v>
      </c>
      <c r="L74" s="4" t="s">
        <v>92</v>
      </c>
      <c r="M74" s="4" t="s">
        <v>103</v>
      </c>
      <c r="N74" s="4">
        <f>3/1000</f>
        <v>3.0000000000000001E-3</v>
      </c>
      <c r="O74" s="4" t="s">
        <v>104</v>
      </c>
      <c r="Q74" s="4" t="s">
        <v>104</v>
      </c>
      <c r="Y74" s="4" t="s">
        <v>454</v>
      </c>
      <c r="Z74" s="4" t="s">
        <v>2566</v>
      </c>
      <c r="AB74" s="6">
        <v>44715</v>
      </c>
      <c r="AC74" s="6"/>
      <c r="AD74" s="6">
        <v>44732</v>
      </c>
    </row>
    <row r="75" spans="1:30" x14ac:dyDescent="0.35">
      <c r="A75" s="7" t="s">
        <v>2175</v>
      </c>
      <c r="B75" s="4" t="s">
        <v>2645</v>
      </c>
      <c r="L75" s="4" t="s">
        <v>2000</v>
      </c>
      <c r="AB75" s="6"/>
      <c r="AC75" s="6"/>
      <c r="AD75" s="6"/>
    </row>
    <row r="76" spans="1:30" x14ac:dyDescent="0.35">
      <c r="A76" s="7" t="s">
        <v>2176</v>
      </c>
      <c r="B76" s="4" t="s">
        <v>455</v>
      </c>
      <c r="D76" s="4" t="s">
        <v>456</v>
      </c>
      <c r="E76" s="4" t="s">
        <v>457</v>
      </c>
      <c r="F76" s="4" t="s">
        <v>110</v>
      </c>
      <c r="G76" s="4" t="s">
        <v>100</v>
      </c>
      <c r="H76" s="4">
        <v>12</v>
      </c>
      <c r="I76" s="4" t="s">
        <v>458</v>
      </c>
      <c r="J76" s="4" t="s">
        <v>8</v>
      </c>
      <c r="K76" s="4" t="s">
        <v>459</v>
      </c>
      <c r="L76" s="4" t="s">
        <v>33</v>
      </c>
      <c r="M76" s="4" t="s">
        <v>33</v>
      </c>
      <c r="N76" s="4">
        <f>10.48/1000</f>
        <v>1.048E-2</v>
      </c>
      <c r="O76" s="4" t="s">
        <v>52</v>
      </c>
      <c r="Q76" s="4" t="s">
        <v>52</v>
      </c>
      <c r="W76" s="4" t="s">
        <v>460</v>
      </c>
      <c r="X76" s="4" t="s">
        <v>461</v>
      </c>
      <c r="Y76" s="4" t="s">
        <v>462</v>
      </c>
      <c r="AB76" s="6">
        <v>45093</v>
      </c>
      <c r="AC76" s="6">
        <v>45093</v>
      </c>
      <c r="AD76" s="6">
        <v>45093</v>
      </c>
    </row>
    <row r="77" spans="1:30" x14ac:dyDescent="0.35">
      <c r="A77" s="7" t="s">
        <v>2177</v>
      </c>
      <c r="B77" s="4" t="s">
        <v>463</v>
      </c>
      <c r="C77" s="4" t="s">
        <v>2564</v>
      </c>
      <c r="D77" s="4" t="s">
        <v>464</v>
      </c>
      <c r="E77" s="4" t="s">
        <v>2279</v>
      </c>
      <c r="F77" s="4" t="s">
        <v>151</v>
      </c>
      <c r="G77" s="4" t="s">
        <v>89</v>
      </c>
      <c r="H77" s="4">
        <v>0.4</v>
      </c>
      <c r="K77" s="4" t="s">
        <v>153</v>
      </c>
      <c r="L77" s="4" t="s">
        <v>92</v>
      </c>
      <c r="M77" s="4" t="s">
        <v>465</v>
      </c>
      <c r="O77" s="4" t="s">
        <v>105</v>
      </c>
      <c r="Q77" s="4" t="s">
        <v>105</v>
      </c>
      <c r="R77" s="4" t="s">
        <v>2071</v>
      </c>
      <c r="V77" s="4" t="s">
        <v>466</v>
      </c>
      <c r="W77" s="4" t="s">
        <v>2301</v>
      </c>
      <c r="Y77" s="4" t="s">
        <v>2565</v>
      </c>
      <c r="AB77" s="6">
        <v>45035</v>
      </c>
      <c r="AD77" s="6">
        <v>44732</v>
      </c>
    </row>
    <row r="78" spans="1:30" s="3" customFormat="1" x14ac:dyDescent="0.35">
      <c r="A78" s="12" t="s">
        <v>2265</v>
      </c>
      <c r="B78" s="4" t="s">
        <v>2106</v>
      </c>
      <c r="C78" s="4" t="s">
        <v>2105</v>
      </c>
      <c r="D78" s="4" t="s">
        <v>477</v>
      </c>
      <c r="E78" s="4" t="s">
        <v>2280</v>
      </c>
      <c r="F78" s="4" t="s">
        <v>151</v>
      </c>
      <c r="G78" s="4" t="s">
        <v>89</v>
      </c>
      <c r="H78" s="4">
        <v>1.2</v>
      </c>
      <c r="I78" s="4" t="s">
        <v>478</v>
      </c>
      <c r="J78" s="4" t="s">
        <v>8</v>
      </c>
      <c r="K78" s="4" t="s">
        <v>153</v>
      </c>
      <c r="L78" s="4" t="s">
        <v>92</v>
      </c>
      <c r="M78" s="4" t="s">
        <v>479</v>
      </c>
      <c r="N78" s="4">
        <f>1.53/1000</f>
        <v>1.5300000000000001E-3</v>
      </c>
      <c r="O78" s="4" t="s">
        <v>2415</v>
      </c>
      <c r="P78" s="4"/>
      <c r="Q78" s="4" t="s">
        <v>292</v>
      </c>
      <c r="R78" s="4"/>
      <c r="S78" s="4"/>
      <c r="T78" s="4"/>
      <c r="U78" s="4"/>
      <c r="V78" s="4"/>
      <c r="W78" s="4"/>
      <c r="X78" s="4"/>
      <c r="Y78" s="10"/>
      <c r="Z78" s="4" t="s">
        <v>2566</v>
      </c>
      <c r="AA78" s="4"/>
      <c r="AB78" s="6">
        <v>44715</v>
      </c>
      <c r="AC78" s="6"/>
      <c r="AD78" s="6">
        <v>45027</v>
      </c>
    </row>
    <row r="79" spans="1:30" x14ac:dyDescent="0.35">
      <c r="A79" s="7" t="s">
        <v>467</v>
      </c>
      <c r="B79" s="4" t="s">
        <v>468</v>
      </c>
      <c r="C79" s="4" t="s">
        <v>469</v>
      </c>
      <c r="D79" t="s">
        <v>2281</v>
      </c>
      <c r="E79" s="4" t="s">
        <v>470</v>
      </c>
      <c r="K79" s="4" t="s">
        <v>153</v>
      </c>
      <c r="L79" s="4" t="s">
        <v>92</v>
      </c>
      <c r="AA79" s="4" t="s">
        <v>168</v>
      </c>
      <c r="AB79" s="6">
        <v>44715</v>
      </c>
      <c r="AC79" s="6"/>
      <c r="AD79" s="6"/>
    </row>
    <row r="80" spans="1:30" x14ac:dyDescent="0.35">
      <c r="A80" s="7" t="s">
        <v>471</v>
      </c>
      <c r="B80" s="4" t="s">
        <v>472</v>
      </c>
      <c r="C80" s="4" t="s">
        <v>473</v>
      </c>
      <c r="D80" s="4" t="s">
        <v>474</v>
      </c>
      <c r="E80" s="4" t="s">
        <v>475</v>
      </c>
      <c r="F80" s="4" t="s">
        <v>151</v>
      </c>
      <c r="G80" s="4" t="s">
        <v>89</v>
      </c>
      <c r="H80" s="4">
        <v>0.35</v>
      </c>
      <c r="K80" s="4" t="s">
        <v>153</v>
      </c>
      <c r="L80" s="4" t="s">
        <v>92</v>
      </c>
      <c r="M80" s="4" t="s">
        <v>476</v>
      </c>
      <c r="N80" s="4">
        <f>1.4/1000</f>
        <v>1.4E-3</v>
      </c>
      <c r="O80" s="4" t="s">
        <v>2415</v>
      </c>
      <c r="Q80" s="4" t="s">
        <v>292</v>
      </c>
      <c r="Z80" s="4" t="s">
        <v>2566</v>
      </c>
      <c r="AB80" s="6">
        <v>44715</v>
      </c>
      <c r="AC80" s="6"/>
      <c r="AD80" s="6">
        <v>45027</v>
      </c>
    </row>
    <row r="81" spans="1:30" x14ac:dyDescent="0.35">
      <c r="A81" s="7" t="s">
        <v>480</v>
      </c>
      <c r="B81" s="4" t="s">
        <v>481</v>
      </c>
      <c r="C81" s="4" t="s">
        <v>482</v>
      </c>
      <c r="D81" s="4" t="s">
        <v>483</v>
      </c>
      <c r="E81" s="4" t="s">
        <v>484</v>
      </c>
      <c r="H81" s="4">
        <v>3</v>
      </c>
      <c r="K81" s="4" t="s">
        <v>153</v>
      </c>
      <c r="L81" s="4" t="s">
        <v>92</v>
      </c>
      <c r="AA81" s="4" t="s">
        <v>154</v>
      </c>
      <c r="AB81" s="6">
        <v>44715</v>
      </c>
      <c r="AC81" s="6"/>
      <c r="AD81" s="6"/>
    </row>
    <row r="82" spans="1:30" x14ac:dyDescent="0.35">
      <c r="A82" s="7" t="s">
        <v>485</v>
      </c>
      <c r="B82" s="4" t="s">
        <v>486</v>
      </c>
      <c r="C82" s="4" t="s">
        <v>487</v>
      </c>
      <c r="E82" s="4" t="s">
        <v>488</v>
      </c>
      <c r="F82" s="4" t="s">
        <v>151</v>
      </c>
      <c r="G82" s="4" t="s">
        <v>89</v>
      </c>
      <c r="H82" s="4">
        <v>1</v>
      </c>
      <c r="K82" s="4" t="s">
        <v>153</v>
      </c>
      <c r="L82" s="4" t="s">
        <v>92</v>
      </c>
      <c r="M82" s="4" t="s">
        <v>489</v>
      </c>
      <c r="N82" s="4">
        <f>1.64/1000</f>
        <v>1.64E-3</v>
      </c>
      <c r="O82" s="4" t="s">
        <v>104</v>
      </c>
      <c r="Q82" s="4" t="s">
        <v>104</v>
      </c>
      <c r="R82" s="4" t="s">
        <v>44</v>
      </c>
      <c r="S82" s="4" t="s">
        <v>105</v>
      </c>
      <c r="W82" s="4" t="s">
        <v>2567</v>
      </c>
      <c r="X82" s="4" t="s">
        <v>490</v>
      </c>
      <c r="Y82" s="4" t="s">
        <v>491</v>
      </c>
      <c r="AB82" s="6">
        <v>44715</v>
      </c>
      <c r="AC82" s="6">
        <v>45035</v>
      </c>
      <c r="AD82" s="6"/>
    </row>
    <row r="83" spans="1:30" x14ac:dyDescent="0.35">
      <c r="A83" s="7" t="s">
        <v>2178</v>
      </c>
      <c r="B83" s="4" t="s">
        <v>492</v>
      </c>
      <c r="D83" s="4" t="s">
        <v>493</v>
      </c>
      <c r="E83" s="4" t="s">
        <v>494</v>
      </c>
      <c r="G83" s="4" t="s">
        <v>89</v>
      </c>
      <c r="H83" s="4">
        <v>0.8</v>
      </c>
      <c r="L83" s="4" t="s">
        <v>92</v>
      </c>
      <c r="M83" s="4" t="s">
        <v>495</v>
      </c>
      <c r="N83" s="4">
        <f>1.77/1000</f>
        <v>1.7700000000000001E-3</v>
      </c>
      <c r="O83" s="4" t="s">
        <v>104</v>
      </c>
      <c r="Q83" s="4" t="s">
        <v>104</v>
      </c>
      <c r="W83" s="4" t="s">
        <v>2393</v>
      </c>
      <c r="Y83" s="4" t="s">
        <v>496</v>
      </c>
      <c r="AB83" s="6">
        <v>44715</v>
      </c>
      <c r="AC83" s="6"/>
      <c r="AD83" s="6">
        <v>44732</v>
      </c>
    </row>
    <row r="84" spans="1:30" x14ac:dyDescent="0.35">
      <c r="A84" s="7" t="s">
        <v>497</v>
      </c>
      <c r="B84" s="4" t="s">
        <v>498</v>
      </c>
      <c r="D84" s="4" t="s">
        <v>499</v>
      </c>
      <c r="E84" s="4" t="s">
        <v>500</v>
      </c>
      <c r="K84" s="4" t="s">
        <v>407</v>
      </c>
      <c r="L84" s="4" t="s">
        <v>169</v>
      </c>
      <c r="W84" s="4" t="s">
        <v>501</v>
      </c>
      <c r="Y84" s="4" t="s">
        <v>502</v>
      </c>
      <c r="AA84" s="4" t="s">
        <v>154</v>
      </c>
      <c r="AC84" s="6">
        <v>45035</v>
      </c>
    </row>
    <row r="85" spans="1:30" x14ac:dyDescent="0.35">
      <c r="A85" s="7" t="s">
        <v>503</v>
      </c>
      <c r="B85" s="4" t="s">
        <v>504</v>
      </c>
      <c r="D85" s="4" t="s">
        <v>505</v>
      </c>
      <c r="E85" s="4" t="s">
        <v>506</v>
      </c>
      <c r="K85" s="4" t="s">
        <v>112</v>
      </c>
      <c r="L85" s="4" t="s">
        <v>33</v>
      </c>
      <c r="M85" s="4" t="s">
        <v>33</v>
      </c>
      <c r="Y85" s="4" t="s">
        <v>2302</v>
      </c>
      <c r="Z85" s="10"/>
      <c r="AA85" s="4" t="s">
        <v>168</v>
      </c>
    </row>
    <row r="86" spans="1:30" x14ac:dyDescent="0.35">
      <c r="A86" s="7" t="s">
        <v>507</v>
      </c>
      <c r="B86" s="4" t="s">
        <v>508</v>
      </c>
      <c r="D86" s="4" t="s">
        <v>509</v>
      </c>
      <c r="E86" s="4" t="s">
        <v>506</v>
      </c>
      <c r="K86" s="4" t="s">
        <v>112</v>
      </c>
      <c r="L86" s="4" t="s">
        <v>33</v>
      </c>
      <c r="M86" s="4" t="s">
        <v>33</v>
      </c>
      <c r="Y86" s="4" t="s">
        <v>510</v>
      </c>
      <c r="AA86" s="4" t="s">
        <v>168</v>
      </c>
    </row>
    <row r="87" spans="1:30" x14ac:dyDescent="0.35">
      <c r="A87" s="7" t="s">
        <v>2179</v>
      </c>
      <c r="B87" s="4" t="s">
        <v>511</v>
      </c>
      <c r="D87" s="4" t="s">
        <v>509</v>
      </c>
      <c r="E87" s="4" t="s">
        <v>512</v>
      </c>
      <c r="G87" s="4" t="s">
        <v>73</v>
      </c>
      <c r="H87" s="4">
        <v>4</v>
      </c>
      <c r="I87" s="4" t="s">
        <v>513</v>
      </c>
      <c r="K87" s="4" t="s">
        <v>112</v>
      </c>
      <c r="L87" s="4" t="s">
        <v>33</v>
      </c>
      <c r="M87" s="4" t="s">
        <v>33</v>
      </c>
      <c r="N87" s="4">
        <f>1.91/1000</f>
        <v>1.91E-3</v>
      </c>
      <c r="AA87" s="4" t="s">
        <v>168</v>
      </c>
      <c r="AB87" s="6">
        <v>44715</v>
      </c>
      <c r="AC87" s="6"/>
      <c r="AD87" s="6">
        <v>45093</v>
      </c>
    </row>
    <row r="88" spans="1:30" x14ac:dyDescent="0.35">
      <c r="A88" s="7" t="s">
        <v>514</v>
      </c>
      <c r="B88" s="4" t="s">
        <v>515</v>
      </c>
      <c r="D88" s="4" t="s">
        <v>516</v>
      </c>
      <c r="E88" s="4" t="s">
        <v>517</v>
      </c>
      <c r="G88" s="4" t="s">
        <v>73</v>
      </c>
      <c r="H88" s="4">
        <v>2.5</v>
      </c>
      <c r="I88" s="4" t="s">
        <v>518</v>
      </c>
      <c r="K88" s="4" t="s">
        <v>112</v>
      </c>
      <c r="L88" s="4" t="s">
        <v>33</v>
      </c>
      <c r="M88" s="4" t="s">
        <v>33</v>
      </c>
      <c r="N88" s="4">
        <f>3.24/1000</f>
        <v>3.2400000000000003E-3</v>
      </c>
      <c r="O88" s="4" t="s">
        <v>52</v>
      </c>
      <c r="Q88" s="4" t="s">
        <v>52</v>
      </c>
      <c r="W88" s="4" t="s">
        <v>2523</v>
      </c>
      <c r="X88" s="4" t="s">
        <v>2524</v>
      </c>
      <c r="Y88" s="10" t="s">
        <v>519</v>
      </c>
      <c r="AB88" s="6">
        <v>44715</v>
      </c>
      <c r="AC88" s="6"/>
      <c r="AD88" s="6">
        <v>45093</v>
      </c>
    </row>
    <row r="89" spans="1:30" s="3" customFormat="1" x14ac:dyDescent="0.35">
      <c r="A89" s="7" t="s">
        <v>2180</v>
      </c>
      <c r="B89" s="4" t="s">
        <v>2112</v>
      </c>
      <c r="C89" s="4" t="s">
        <v>2111</v>
      </c>
      <c r="D89" s="4" t="s">
        <v>658</v>
      </c>
      <c r="E89" s="4" t="s">
        <v>659</v>
      </c>
      <c r="F89" s="4"/>
      <c r="G89" s="4" t="s">
        <v>100</v>
      </c>
      <c r="H89" s="4">
        <v>5</v>
      </c>
      <c r="I89" s="4" t="s">
        <v>660</v>
      </c>
      <c r="J89" s="4" t="s">
        <v>8</v>
      </c>
      <c r="K89" s="4" t="s">
        <v>378</v>
      </c>
      <c r="L89" s="4" t="s">
        <v>92</v>
      </c>
      <c r="M89" s="4" t="s">
        <v>661</v>
      </c>
      <c r="N89" s="4">
        <f>23.6/1000</f>
        <v>2.3600000000000003E-2</v>
      </c>
      <c r="O89" s="4" t="s">
        <v>94</v>
      </c>
      <c r="P89" s="4" t="s">
        <v>35</v>
      </c>
      <c r="Q89" s="4" t="s">
        <v>94</v>
      </c>
      <c r="R89" s="4" t="s">
        <v>35</v>
      </c>
      <c r="S89" s="4" t="s">
        <v>44</v>
      </c>
      <c r="T89" s="4" t="s">
        <v>52</v>
      </c>
      <c r="U89" s="7"/>
      <c r="V89" s="4"/>
      <c r="W89" s="4" t="s">
        <v>2521</v>
      </c>
      <c r="X89" s="4" t="s">
        <v>2522</v>
      </c>
      <c r="Y89" s="4" t="s">
        <v>662</v>
      </c>
      <c r="Z89" s="4"/>
      <c r="AA89" s="4"/>
      <c r="AB89" s="6">
        <v>44727</v>
      </c>
      <c r="AC89" s="6">
        <v>45037</v>
      </c>
      <c r="AD89" s="6">
        <v>45037</v>
      </c>
    </row>
    <row r="90" spans="1:30" x14ac:dyDescent="0.35">
      <c r="A90" s="7" t="s">
        <v>520</v>
      </c>
      <c r="B90" s="4" t="s">
        <v>521</v>
      </c>
      <c r="C90" s="4" t="s">
        <v>522</v>
      </c>
      <c r="D90" s="4" t="s">
        <v>523</v>
      </c>
      <c r="E90" s="4" t="s">
        <v>524</v>
      </c>
      <c r="L90" s="4" t="s">
        <v>92</v>
      </c>
      <c r="N90" s="4">
        <f>2.1619/1000</f>
        <v>2.1619E-3</v>
      </c>
      <c r="X90" s="4" t="s">
        <v>525</v>
      </c>
      <c r="AA90" s="4" t="s">
        <v>154</v>
      </c>
      <c r="AB90" s="6">
        <v>44727</v>
      </c>
      <c r="AC90" s="6"/>
    </row>
    <row r="91" spans="1:30" x14ac:dyDescent="0.35">
      <c r="A91" s="7" t="s">
        <v>526</v>
      </c>
      <c r="B91" s="4" t="s">
        <v>527</v>
      </c>
      <c r="C91" s="4" t="s">
        <v>528</v>
      </c>
      <c r="D91" s="4" t="s">
        <v>529</v>
      </c>
      <c r="E91" s="4" t="s">
        <v>530</v>
      </c>
      <c r="G91" s="4" t="s">
        <v>73</v>
      </c>
      <c r="H91" s="4">
        <v>2.5</v>
      </c>
      <c r="I91" s="4" t="s">
        <v>531</v>
      </c>
      <c r="K91" s="4" t="s">
        <v>112</v>
      </c>
      <c r="L91" s="4" t="s">
        <v>33</v>
      </c>
      <c r="M91" s="4" t="s">
        <v>33</v>
      </c>
      <c r="O91" s="4" t="s">
        <v>52</v>
      </c>
      <c r="Q91" s="4" t="s">
        <v>52</v>
      </c>
      <c r="W91" s="5" t="s">
        <v>2303</v>
      </c>
      <c r="Y91" s="8" t="s">
        <v>532</v>
      </c>
      <c r="AB91" s="6">
        <v>44727</v>
      </c>
      <c r="AC91" s="6"/>
    </row>
    <row r="92" spans="1:30" x14ac:dyDescent="0.35">
      <c r="A92" s="7" t="s">
        <v>533</v>
      </c>
      <c r="B92" s="4" t="s">
        <v>534</v>
      </c>
      <c r="D92" s="4" t="s">
        <v>535</v>
      </c>
      <c r="G92" s="4" t="s">
        <v>89</v>
      </c>
      <c r="H92" s="4">
        <v>1</v>
      </c>
      <c r="I92" s="4" t="s">
        <v>536</v>
      </c>
      <c r="K92" s="4" t="s">
        <v>133</v>
      </c>
      <c r="L92" s="4" t="s">
        <v>92</v>
      </c>
      <c r="M92" s="4" t="s">
        <v>537</v>
      </c>
      <c r="N92" s="4">
        <f>1.34/1000</f>
        <v>1.34E-3</v>
      </c>
      <c r="O92" s="4" t="s">
        <v>104</v>
      </c>
      <c r="P92" s="4" t="s">
        <v>35</v>
      </c>
      <c r="Q92" s="4" t="s">
        <v>104</v>
      </c>
      <c r="R92" s="4" t="s">
        <v>52</v>
      </c>
      <c r="S92" s="4" t="s">
        <v>44</v>
      </c>
      <c r="T92" s="4" t="s">
        <v>35</v>
      </c>
      <c r="W92" s="4" t="s">
        <v>2444</v>
      </c>
      <c r="X92" s="4" t="s">
        <v>2360</v>
      </c>
      <c r="Y92" s="4" t="s">
        <v>2445</v>
      </c>
      <c r="AB92" s="6">
        <v>44715</v>
      </c>
      <c r="AC92" s="6"/>
      <c r="AD92" s="6">
        <v>45035</v>
      </c>
    </row>
    <row r="93" spans="1:30" x14ac:dyDescent="0.35">
      <c r="A93" s="7" t="s">
        <v>538</v>
      </c>
      <c r="B93" s="4" t="s">
        <v>539</v>
      </c>
      <c r="D93" s="4" t="s">
        <v>540</v>
      </c>
      <c r="G93" s="4" t="s">
        <v>89</v>
      </c>
      <c r="H93" s="4">
        <v>1.5</v>
      </c>
      <c r="I93" s="4" t="s">
        <v>541</v>
      </c>
      <c r="J93" s="4" t="s">
        <v>8</v>
      </c>
      <c r="K93" s="4" t="s">
        <v>133</v>
      </c>
      <c r="L93" s="4" t="s">
        <v>92</v>
      </c>
      <c r="M93" s="4" t="s">
        <v>537</v>
      </c>
      <c r="N93" s="4">
        <f>2.91/1000</f>
        <v>2.9100000000000003E-3</v>
      </c>
      <c r="O93" s="4" t="s">
        <v>104</v>
      </c>
      <c r="P93" s="4" t="s">
        <v>35</v>
      </c>
      <c r="Q93" s="4" t="s">
        <v>104</v>
      </c>
      <c r="R93" s="4" t="s">
        <v>52</v>
      </c>
      <c r="S93" s="4" t="s">
        <v>105</v>
      </c>
      <c r="T93" s="4" t="s">
        <v>35</v>
      </c>
      <c r="W93" s="4" t="s">
        <v>2475</v>
      </c>
      <c r="X93" s="4" t="s">
        <v>2361</v>
      </c>
      <c r="Y93" s="4" t="s">
        <v>2476</v>
      </c>
      <c r="AB93" s="6">
        <v>44715</v>
      </c>
      <c r="AC93" s="6"/>
      <c r="AD93" s="6">
        <v>45035</v>
      </c>
    </row>
    <row r="94" spans="1:30" x14ac:dyDescent="0.35">
      <c r="A94" s="7" t="s">
        <v>542</v>
      </c>
      <c r="B94" s="4" t="s">
        <v>543</v>
      </c>
      <c r="D94" s="4" t="s">
        <v>544</v>
      </c>
      <c r="E94" s="4" t="s">
        <v>545</v>
      </c>
      <c r="F94" s="4" t="s">
        <v>110</v>
      </c>
      <c r="G94" s="4" t="s">
        <v>73</v>
      </c>
      <c r="K94" s="4" t="s">
        <v>133</v>
      </c>
      <c r="L94" s="4" t="s">
        <v>92</v>
      </c>
      <c r="M94" s="4" t="s">
        <v>546</v>
      </c>
      <c r="N94" s="4">
        <f>8.12/1000</f>
        <v>8.1199999999999987E-3</v>
      </c>
      <c r="O94" s="4" t="s">
        <v>104</v>
      </c>
      <c r="Q94" s="4" t="s">
        <v>104</v>
      </c>
      <c r="R94" s="4" t="s">
        <v>44</v>
      </c>
      <c r="W94" s="4" t="s">
        <v>118</v>
      </c>
      <c r="X94" s="4" t="s">
        <v>547</v>
      </c>
      <c r="AB94" s="6">
        <v>44715</v>
      </c>
      <c r="AC94" s="6"/>
      <c r="AD94" s="6">
        <v>45027</v>
      </c>
    </row>
    <row r="95" spans="1:30" x14ac:dyDescent="0.35">
      <c r="A95" s="7" t="s">
        <v>548</v>
      </c>
      <c r="B95" s="4" t="s">
        <v>549</v>
      </c>
      <c r="C95" s="4" t="s">
        <v>550</v>
      </c>
      <c r="E95" s="4" t="s">
        <v>551</v>
      </c>
      <c r="F95" s="4" t="s">
        <v>110</v>
      </c>
      <c r="G95" s="4" t="s">
        <v>73</v>
      </c>
      <c r="I95" s="4" t="s">
        <v>552</v>
      </c>
      <c r="K95" s="4" t="s">
        <v>133</v>
      </c>
      <c r="L95" s="4" t="s">
        <v>92</v>
      </c>
      <c r="M95" s="4" t="s">
        <v>546</v>
      </c>
      <c r="N95" s="4">
        <f>5.24/1000</f>
        <v>5.2399999999999999E-3</v>
      </c>
      <c r="O95" s="4" t="s">
        <v>104</v>
      </c>
      <c r="Q95" s="4" t="s">
        <v>104</v>
      </c>
      <c r="R95" s="4" t="s">
        <v>44</v>
      </c>
      <c r="W95" s="4" t="s">
        <v>118</v>
      </c>
      <c r="X95" s="4" t="s">
        <v>553</v>
      </c>
      <c r="AB95" s="6">
        <v>44715</v>
      </c>
      <c r="AC95" s="6">
        <v>45035</v>
      </c>
      <c r="AD95" s="6">
        <v>45027</v>
      </c>
    </row>
    <row r="96" spans="1:30" x14ac:dyDescent="0.35">
      <c r="A96" s="7" t="s">
        <v>554</v>
      </c>
      <c r="B96" s="4" t="s">
        <v>555</v>
      </c>
      <c r="D96" s="4" t="s">
        <v>556</v>
      </c>
      <c r="E96" s="4" t="s">
        <v>551</v>
      </c>
      <c r="F96" s="4" t="s">
        <v>110</v>
      </c>
      <c r="G96" s="4" t="s">
        <v>100</v>
      </c>
      <c r="I96" s="4" t="s">
        <v>557</v>
      </c>
      <c r="J96" s="4" t="s">
        <v>8</v>
      </c>
      <c r="K96" s="4" t="s">
        <v>133</v>
      </c>
      <c r="L96" s="4" t="s">
        <v>92</v>
      </c>
      <c r="M96" s="4" t="s">
        <v>546</v>
      </c>
      <c r="N96" s="4">
        <f>2.22/1000</f>
        <v>2.2200000000000002E-3</v>
      </c>
      <c r="O96" s="4" t="s">
        <v>104</v>
      </c>
      <c r="Q96" s="4" t="s">
        <v>104</v>
      </c>
      <c r="R96" s="4" t="s">
        <v>44</v>
      </c>
      <c r="W96" s="4" t="s">
        <v>558</v>
      </c>
      <c r="X96" s="4" t="s">
        <v>559</v>
      </c>
      <c r="AB96" s="6">
        <v>44715</v>
      </c>
      <c r="AC96" s="6">
        <v>45035</v>
      </c>
      <c r="AD96" s="6">
        <v>45027</v>
      </c>
    </row>
    <row r="97" spans="1:30" x14ac:dyDescent="0.35">
      <c r="A97" s="7" t="s">
        <v>560</v>
      </c>
      <c r="B97" s="4" t="s">
        <v>561</v>
      </c>
      <c r="D97" s="4" t="s">
        <v>562</v>
      </c>
      <c r="E97" s="4" t="s">
        <v>563</v>
      </c>
      <c r="F97" s="4" t="s">
        <v>110</v>
      </c>
      <c r="G97" s="4" t="s">
        <v>73</v>
      </c>
      <c r="I97" s="4" t="s">
        <v>564</v>
      </c>
      <c r="J97" s="4" t="s">
        <v>8</v>
      </c>
      <c r="K97" s="4" t="s">
        <v>91</v>
      </c>
      <c r="L97" s="4" t="s">
        <v>92</v>
      </c>
      <c r="M97" s="4" t="s">
        <v>103</v>
      </c>
      <c r="N97" s="4">
        <f>72.3/1000</f>
        <v>7.2300000000000003E-2</v>
      </c>
      <c r="O97" s="4" t="s">
        <v>104</v>
      </c>
      <c r="Q97" s="4" t="s">
        <v>104</v>
      </c>
      <c r="W97" s="4" t="s">
        <v>118</v>
      </c>
      <c r="AB97" s="6">
        <v>44715</v>
      </c>
      <c r="AC97" s="6">
        <v>45035</v>
      </c>
      <c r="AD97" s="6">
        <v>45027</v>
      </c>
    </row>
    <row r="98" spans="1:30" x14ac:dyDescent="0.35">
      <c r="A98" s="7" t="s">
        <v>565</v>
      </c>
      <c r="B98" s="4" t="s">
        <v>566</v>
      </c>
      <c r="C98" s="4" t="s">
        <v>567</v>
      </c>
      <c r="D98" s="4" t="s">
        <v>568</v>
      </c>
      <c r="E98" s="4" t="s">
        <v>569</v>
      </c>
      <c r="G98" s="4" t="s">
        <v>100</v>
      </c>
      <c r="H98" s="4">
        <v>6</v>
      </c>
      <c r="I98" s="4" t="s">
        <v>570</v>
      </c>
      <c r="K98" s="4" t="s">
        <v>571</v>
      </c>
      <c r="L98" s="4" t="s">
        <v>33</v>
      </c>
      <c r="M98" s="4" t="s">
        <v>33</v>
      </c>
      <c r="N98" s="4">
        <f>36.9/1000</f>
        <v>3.6899999999999995E-2</v>
      </c>
      <c r="O98" s="4" t="s">
        <v>52</v>
      </c>
      <c r="Q98" s="4" t="s">
        <v>52</v>
      </c>
      <c r="W98" s="4" t="s">
        <v>2519</v>
      </c>
      <c r="X98" s="4" t="s">
        <v>2520</v>
      </c>
      <c r="AB98" s="6">
        <v>44715</v>
      </c>
      <c r="AC98" s="6"/>
      <c r="AD98" s="6">
        <v>45093</v>
      </c>
    </row>
    <row r="99" spans="1:30" x14ac:dyDescent="0.35">
      <c r="A99" s="7" t="s">
        <v>2181</v>
      </c>
      <c r="B99" s="4" t="s">
        <v>572</v>
      </c>
      <c r="D99" s="4" t="s">
        <v>573</v>
      </c>
      <c r="E99" s="4" t="s">
        <v>574</v>
      </c>
      <c r="F99" s="4" t="s">
        <v>151</v>
      </c>
      <c r="G99" s="4" t="s">
        <v>73</v>
      </c>
      <c r="H99" s="4">
        <v>4.5</v>
      </c>
      <c r="I99" s="4" t="s">
        <v>575</v>
      </c>
      <c r="J99" s="4" t="s">
        <v>8</v>
      </c>
      <c r="K99" s="4" t="s">
        <v>153</v>
      </c>
      <c r="L99" s="4" t="s">
        <v>92</v>
      </c>
      <c r="M99" s="4" t="s">
        <v>576</v>
      </c>
      <c r="O99" s="4" t="s">
        <v>104</v>
      </c>
      <c r="Q99" s="4" t="s">
        <v>104</v>
      </c>
      <c r="W99" s="4" t="s">
        <v>2394</v>
      </c>
      <c r="X99" s="4" t="s">
        <v>577</v>
      </c>
      <c r="AB99" s="6">
        <v>44715</v>
      </c>
      <c r="AC99" s="6">
        <v>45035</v>
      </c>
    </row>
    <row r="100" spans="1:30" x14ac:dyDescent="0.35">
      <c r="A100" s="7" t="s">
        <v>2182</v>
      </c>
      <c r="B100" s="4" t="s">
        <v>578</v>
      </c>
      <c r="D100" s="4" t="s">
        <v>579</v>
      </c>
      <c r="E100" s="4" t="s">
        <v>580</v>
      </c>
      <c r="F100" s="4" t="s">
        <v>151</v>
      </c>
      <c r="G100" s="4" t="s">
        <v>73</v>
      </c>
      <c r="H100" s="4">
        <v>6</v>
      </c>
      <c r="I100" s="4" t="s">
        <v>581</v>
      </c>
      <c r="J100" s="4" t="s">
        <v>8</v>
      </c>
      <c r="K100" s="4" t="s">
        <v>153</v>
      </c>
      <c r="L100" s="4" t="s">
        <v>92</v>
      </c>
      <c r="M100" s="4" t="s">
        <v>576</v>
      </c>
      <c r="O100" s="4" t="s">
        <v>104</v>
      </c>
      <c r="Q100" s="4" t="s">
        <v>104</v>
      </c>
      <c r="W100" s="4" t="s">
        <v>2420</v>
      </c>
      <c r="X100" s="4" t="s">
        <v>577</v>
      </c>
      <c r="Y100" s="4" t="s">
        <v>2421</v>
      </c>
      <c r="AB100" s="6">
        <v>44715</v>
      </c>
      <c r="AC100" s="6">
        <v>45035</v>
      </c>
    </row>
    <row r="101" spans="1:30" x14ac:dyDescent="0.35">
      <c r="A101" s="7" t="s">
        <v>582</v>
      </c>
      <c r="B101" s="4" t="s">
        <v>583</v>
      </c>
      <c r="C101" s="4" t="s">
        <v>584</v>
      </c>
      <c r="D101" s="4" t="s">
        <v>585</v>
      </c>
      <c r="E101" s="4" t="s">
        <v>586</v>
      </c>
      <c r="F101" s="4" t="s">
        <v>30</v>
      </c>
      <c r="G101" s="4" t="s">
        <v>73</v>
      </c>
      <c r="H101" s="4">
        <v>5</v>
      </c>
      <c r="I101" s="4" t="s">
        <v>587</v>
      </c>
      <c r="K101" s="4" t="s">
        <v>588</v>
      </c>
      <c r="L101" s="4" t="s">
        <v>33</v>
      </c>
      <c r="M101" s="4" t="s">
        <v>33</v>
      </c>
      <c r="N101" s="4">
        <f>7.77/1000</f>
        <v>7.77E-3</v>
      </c>
      <c r="O101" s="4" t="s">
        <v>52</v>
      </c>
      <c r="Q101" s="4" t="s">
        <v>52</v>
      </c>
      <c r="W101" s="4" t="s">
        <v>25</v>
      </c>
      <c r="X101" s="4" t="s">
        <v>589</v>
      </c>
      <c r="AB101" s="6">
        <v>45093</v>
      </c>
      <c r="AC101" s="6">
        <v>45093</v>
      </c>
      <c r="AD101" s="6">
        <v>45093</v>
      </c>
    </row>
    <row r="102" spans="1:30" x14ac:dyDescent="0.35">
      <c r="A102" s="7" t="s">
        <v>2183</v>
      </c>
      <c r="B102" s="4" t="s">
        <v>590</v>
      </c>
      <c r="D102" s="4" t="s">
        <v>591</v>
      </c>
      <c r="E102" s="4" t="s">
        <v>592</v>
      </c>
      <c r="G102" s="4" t="s">
        <v>73</v>
      </c>
      <c r="H102" s="4">
        <v>2</v>
      </c>
      <c r="I102" s="4" t="s">
        <v>593</v>
      </c>
      <c r="J102" s="4" t="s">
        <v>8</v>
      </c>
      <c r="K102" s="4" t="s">
        <v>588</v>
      </c>
      <c r="L102" s="4" t="s">
        <v>33</v>
      </c>
      <c r="M102" s="4" t="s">
        <v>33</v>
      </c>
      <c r="N102" s="4">
        <f>8.88/1000</f>
        <v>8.8800000000000007E-3</v>
      </c>
      <c r="O102" s="4" t="s">
        <v>52</v>
      </c>
      <c r="Q102" s="4" t="s">
        <v>52</v>
      </c>
      <c r="W102" s="4" t="s">
        <v>594</v>
      </c>
      <c r="AB102" s="6">
        <v>44715</v>
      </c>
      <c r="AC102" s="6">
        <v>45093</v>
      </c>
      <c r="AD102" s="6">
        <v>45093</v>
      </c>
    </row>
    <row r="103" spans="1:30" x14ac:dyDescent="0.35">
      <c r="A103" s="7" t="s">
        <v>595</v>
      </c>
      <c r="B103" s="4" t="s">
        <v>596</v>
      </c>
      <c r="D103" s="4" t="s">
        <v>591</v>
      </c>
      <c r="E103" s="4" t="s">
        <v>597</v>
      </c>
      <c r="G103" s="4" t="s">
        <v>73</v>
      </c>
      <c r="H103" s="4">
        <v>4</v>
      </c>
      <c r="I103" s="4" t="s">
        <v>598</v>
      </c>
      <c r="J103" s="4" t="s">
        <v>8</v>
      </c>
      <c r="K103" s="4" t="s">
        <v>588</v>
      </c>
      <c r="L103" s="4" t="s">
        <v>33</v>
      </c>
      <c r="M103" s="4" t="s">
        <v>33</v>
      </c>
      <c r="N103" s="4">
        <f>7.18/1000</f>
        <v>7.1799999999999998E-3</v>
      </c>
      <c r="O103" s="4" t="s">
        <v>52</v>
      </c>
      <c r="Q103" s="4" t="s">
        <v>52</v>
      </c>
      <c r="W103" s="4" t="s">
        <v>2305</v>
      </c>
      <c r="X103" s="4" t="s">
        <v>599</v>
      </c>
      <c r="AB103" s="6">
        <v>44715</v>
      </c>
      <c r="AC103" s="6">
        <v>45093</v>
      </c>
      <c r="AD103" s="6">
        <v>45093</v>
      </c>
    </row>
    <row r="104" spans="1:30" x14ac:dyDescent="0.35">
      <c r="A104" s="7" t="s">
        <v>2184</v>
      </c>
      <c r="B104" s="4" t="s">
        <v>600</v>
      </c>
      <c r="D104" s="4" t="s">
        <v>601</v>
      </c>
      <c r="E104" s="4" t="s">
        <v>602</v>
      </c>
      <c r="G104" s="4" t="s">
        <v>73</v>
      </c>
      <c r="H104" s="4">
        <v>3.5</v>
      </c>
      <c r="I104" s="4" t="s">
        <v>603</v>
      </c>
      <c r="J104" s="4" t="s">
        <v>8</v>
      </c>
      <c r="K104" s="4" t="s">
        <v>588</v>
      </c>
      <c r="L104" s="4" t="s">
        <v>33</v>
      </c>
      <c r="M104" s="4" t="s">
        <v>33</v>
      </c>
      <c r="N104" s="4">
        <f>13.18/1000</f>
        <v>1.3179999999999999E-2</v>
      </c>
      <c r="O104" s="4" t="s">
        <v>52</v>
      </c>
      <c r="Q104" s="4" t="s">
        <v>52</v>
      </c>
      <c r="W104" s="4" t="s">
        <v>604</v>
      </c>
      <c r="X104" s="4" t="s">
        <v>605</v>
      </c>
      <c r="AB104" s="6">
        <v>44715</v>
      </c>
      <c r="AC104" s="6">
        <v>45093</v>
      </c>
      <c r="AD104" s="6">
        <v>45093</v>
      </c>
    </row>
    <row r="105" spans="1:30" x14ac:dyDescent="0.35">
      <c r="A105" s="7" t="s">
        <v>606</v>
      </c>
      <c r="B105" s="4" t="s">
        <v>607</v>
      </c>
      <c r="D105" s="4" t="s">
        <v>608</v>
      </c>
      <c r="E105" s="4" t="s">
        <v>609</v>
      </c>
      <c r="G105" s="4" t="s">
        <v>73</v>
      </c>
      <c r="H105" s="4">
        <v>0.5</v>
      </c>
      <c r="I105" s="4" t="s">
        <v>610</v>
      </c>
      <c r="K105" s="4" t="s">
        <v>235</v>
      </c>
      <c r="L105" s="4" t="s">
        <v>92</v>
      </c>
      <c r="M105" s="4" t="s">
        <v>611</v>
      </c>
      <c r="N105" s="4">
        <f>0.02/1000</f>
        <v>2.0000000000000002E-5</v>
      </c>
      <c r="O105" s="4" t="s">
        <v>2415</v>
      </c>
      <c r="Q105" s="4" t="s">
        <v>2071</v>
      </c>
      <c r="W105" s="4" t="s">
        <v>2586</v>
      </c>
      <c r="Y105" s="4" t="s">
        <v>2395</v>
      </c>
      <c r="AB105" s="6">
        <v>44715</v>
      </c>
      <c r="AC105" s="6">
        <v>45035</v>
      </c>
      <c r="AD105" s="6">
        <v>44732</v>
      </c>
    </row>
    <row r="106" spans="1:30" x14ac:dyDescent="0.35">
      <c r="A106" s="7" t="s">
        <v>612</v>
      </c>
      <c r="B106" s="4" t="s">
        <v>613</v>
      </c>
      <c r="D106" s="4" t="s">
        <v>614</v>
      </c>
      <c r="E106" s="4" t="s">
        <v>615</v>
      </c>
      <c r="G106" s="4" t="s">
        <v>89</v>
      </c>
      <c r="L106" s="4" t="s">
        <v>92</v>
      </c>
      <c r="AA106" s="4" t="s">
        <v>154</v>
      </c>
      <c r="AB106" s="6">
        <v>44715</v>
      </c>
      <c r="AC106" s="6"/>
    </row>
    <row r="107" spans="1:30" x14ac:dyDescent="0.35">
      <c r="A107" s="7" t="s">
        <v>616</v>
      </c>
      <c r="B107" s="4" t="s">
        <v>617</v>
      </c>
      <c r="C107" s="4" t="s">
        <v>618</v>
      </c>
      <c r="D107" s="4" t="s">
        <v>619</v>
      </c>
      <c r="E107" s="4" t="s">
        <v>620</v>
      </c>
      <c r="F107" s="4" t="s">
        <v>30</v>
      </c>
      <c r="G107" s="4" t="s">
        <v>73</v>
      </c>
      <c r="H107" s="4">
        <v>10</v>
      </c>
      <c r="I107" s="4" t="s">
        <v>621</v>
      </c>
      <c r="J107" s="4" t="s">
        <v>8</v>
      </c>
      <c r="K107" s="4" t="s">
        <v>588</v>
      </c>
      <c r="L107" s="4" t="s">
        <v>33</v>
      </c>
      <c r="M107" s="4" t="s">
        <v>33</v>
      </c>
      <c r="N107" s="4">
        <f>96.87/1000</f>
        <v>9.6869999999999998E-2</v>
      </c>
      <c r="O107" s="4" t="s">
        <v>52</v>
      </c>
      <c r="Q107" s="4" t="s">
        <v>52</v>
      </c>
      <c r="R107" s="4" t="s">
        <v>105</v>
      </c>
      <c r="W107" s="4" t="s">
        <v>2446</v>
      </c>
      <c r="X107" s="4" t="s">
        <v>2306</v>
      </c>
      <c r="Y107" s="4" t="s">
        <v>2447</v>
      </c>
      <c r="AB107" s="6">
        <v>44715</v>
      </c>
      <c r="AC107" s="6">
        <v>45093</v>
      </c>
      <c r="AD107" s="6">
        <v>45093</v>
      </c>
    </row>
    <row r="108" spans="1:30" x14ac:dyDescent="0.35">
      <c r="A108" s="7" t="s">
        <v>2261</v>
      </c>
      <c r="B108" s="4" t="s">
        <v>2266</v>
      </c>
      <c r="D108" s="4" t="s">
        <v>622</v>
      </c>
      <c r="E108" s="4" t="s">
        <v>623</v>
      </c>
      <c r="H108" s="4">
        <v>0.9</v>
      </c>
      <c r="K108" s="4" t="s">
        <v>91</v>
      </c>
      <c r="L108" s="4" t="s">
        <v>92</v>
      </c>
      <c r="AA108" s="4" t="s">
        <v>154</v>
      </c>
      <c r="AB108" s="6">
        <v>44715</v>
      </c>
      <c r="AC108" s="6">
        <v>45027</v>
      </c>
    </row>
    <row r="109" spans="1:30" x14ac:dyDescent="0.35">
      <c r="A109" s="7" t="s">
        <v>624</v>
      </c>
      <c r="B109" s="4" t="s">
        <v>625</v>
      </c>
      <c r="D109" s="4" t="s">
        <v>626</v>
      </c>
      <c r="G109" s="4" t="s">
        <v>100</v>
      </c>
      <c r="I109" s="4" t="s">
        <v>627</v>
      </c>
      <c r="K109" s="4" t="s">
        <v>307</v>
      </c>
      <c r="L109" s="4" t="s">
        <v>92</v>
      </c>
      <c r="M109" s="4" t="s">
        <v>103</v>
      </c>
      <c r="N109" s="4">
        <f>11.73/1000</f>
        <v>1.1730000000000001E-2</v>
      </c>
      <c r="O109" s="4" t="s">
        <v>104</v>
      </c>
      <c r="Q109" s="4" t="s">
        <v>104</v>
      </c>
      <c r="W109" s="4" t="s">
        <v>2307</v>
      </c>
      <c r="X109" s="4" t="s">
        <v>628</v>
      </c>
      <c r="AB109" s="6">
        <v>44715</v>
      </c>
      <c r="AC109" s="6">
        <v>45035</v>
      </c>
      <c r="AD109" s="6">
        <v>44732</v>
      </c>
    </row>
    <row r="110" spans="1:30" x14ac:dyDescent="0.35">
      <c r="A110" s="7" t="s">
        <v>629</v>
      </c>
      <c r="B110" s="4" t="s">
        <v>630</v>
      </c>
      <c r="D110" s="5" t="s">
        <v>631</v>
      </c>
      <c r="E110" s="4" t="s">
        <v>632</v>
      </c>
      <c r="G110" s="4" t="s">
        <v>89</v>
      </c>
      <c r="I110" s="4" t="s">
        <v>633</v>
      </c>
      <c r="K110" s="4" t="s">
        <v>91</v>
      </c>
      <c r="L110" s="4" t="s">
        <v>92</v>
      </c>
      <c r="M110" s="4" t="s">
        <v>154</v>
      </c>
      <c r="N110" s="4">
        <f>0.84/1000</f>
        <v>8.3999999999999993E-4</v>
      </c>
      <c r="O110" s="4" t="s">
        <v>2415</v>
      </c>
      <c r="Q110" s="4" t="s">
        <v>52</v>
      </c>
      <c r="R110" s="4" t="s">
        <v>44</v>
      </c>
      <c r="S110" s="4" t="s">
        <v>105</v>
      </c>
      <c r="W110" s="4" t="s">
        <v>2532</v>
      </c>
      <c r="X110" s="4" t="s">
        <v>634</v>
      </c>
      <c r="Y110" s="4" t="s">
        <v>2531</v>
      </c>
      <c r="Z110" s="4" t="s">
        <v>2566</v>
      </c>
      <c r="AB110" s="6">
        <v>45030</v>
      </c>
      <c r="AC110" s="6"/>
      <c r="AD110" s="6">
        <v>45030</v>
      </c>
    </row>
    <row r="111" spans="1:30" x14ac:dyDescent="0.35">
      <c r="A111" s="7" t="s">
        <v>635</v>
      </c>
      <c r="B111" s="4" t="s">
        <v>636</v>
      </c>
      <c r="D111" s="4" t="s">
        <v>637</v>
      </c>
      <c r="E111" s="4" t="s">
        <v>638</v>
      </c>
      <c r="F111" s="4" t="s">
        <v>151</v>
      </c>
      <c r="G111" s="4" t="s">
        <v>89</v>
      </c>
      <c r="H111" s="4">
        <v>0.5</v>
      </c>
      <c r="I111" s="4" t="s">
        <v>639</v>
      </c>
      <c r="K111" s="4" t="s">
        <v>153</v>
      </c>
      <c r="L111" s="4" t="s">
        <v>92</v>
      </c>
      <c r="M111" s="4" t="s">
        <v>154</v>
      </c>
      <c r="N111" s="4">
        <f>0.3/1000</f>
        <v>2.9999999999999997E-4</v>
      </c>
      <c r="O111" s="4" t="s">
        <v>2415</v>
      </c>
      <c r="Q111" s="4" t="s">
        <v>52</v>
      </c>
      <c r="R111" s="4" t="s">
        <v>2088</v>
      </c>
      <c r="W111" s="4" t="s">
        <v>2568</v>
      </c>
      <c r="X111" s="4" t="s">
        <v>640</v>
      </c>
      <c r="Y111" s="13" t="s">
        <v>2533</v>
      </c>
      <c r="AB111" s="6">
        <v>44715</v>
      </c>
      <c r="AC111" s="6"/>
      <c r="AD111" s="6">
        <v>44732</v>
      </c>
    </row>
    <row r="112" spans="1:30" x14ac:dyDescent="0.35">
      <c r="A112" s="7" t="s">
        <v>641</v>
      </c>
      <c r="B112" s="4" t="s">
        <v>642</v>
      </c>
      <c r="D112" s="4" t="s">
        <v>643</v>
      </c>
      <c r="E112" s="4" t="s">
        <v>644</v>
      </c>
      <c r="F112" s="4" t="s">
        <v>645</v>
      </c>
      <c r="G112" s="4" t="s">
        <v>89</v>
      </c>
      <c r="H112" s="4">
        <v>0.9</v>
      </c>
      <c r="I112" s="4" t="s">
        <v>646</v>
      </c>
      <c r="J112" s="4" t="s">
        <v>8</v>
      </c>
      <c r="K112" s="4" t="s">
        <v>407</v>
      </c>
      <c r="L112" s="4" t="s">
        <v>92</v>
      </c>
      <c r="M112" s="4" t="s">
        <v>154</v>
      </c>
      <c r="N112" s="4">
        <f>0.12/1000</f>
        <v>1.1999999999999999E-4</v>
      </c>
      <c r="O112" s="4" t="s">
        <v>2415</v>
      </c>
      <c r="Q112" s="4" t="s">
        <v>52</v>
      </c>
      <c r="W112" s="4" t="s">
        <v>2570</v>
      </c>
      <c r="X112" s="4" t="s">
        <v>647</v>
      </c>
      <c r="Y112" s="13" t="s">
        <v>2569</v>
      </c>
      <c r="Z112" s="4" t="s">
        <v>648</v>
      </c>
      <c r="AB112" s="6">
        <v>44715</v>
      </c>
      <c r="AC112" s="6"/>
    </row>
    <row r="113" spans="1:30" x14ac:dyDescent="0.35">
      <c r="A113" s="7" t="s">
        <v>649</v>
      </c>
      <c r="B113" s="4" t="s">
        <v>650</v>
      </c>
      <c r="D113" s="4" t="s">
        <v>651</v>
      </c>
      <c r="E113" s="4" t="s">
        <v>652</v>
      </c>
      <c r="H113" s="4">
        <f>0.24/1000</f>
        <v>2.3999999999999998E-4</v>
      </c>
      <c r="K113" s="4" t="s">
        <v>407</v>
      </c>
      <c r="L113" s="4" t="s">
        <v>92</v>
      </c>
      <c r="Y113" s="4" t="s">
        <v>2074</v>
      </c>
      <c r="AA113" s="4" t="s">
        <v>168</v>
      </c>
      <c r="AB113" s="6">
        <v>44715</v>
      </c>
      <c r="AC113" s="6"/>
      <c r="AD113" s="6">
        <v>44732</v>
      </c>
    </row>
    <row r="114" spans="1:30" x14ac:dyDescent="0.35">
      <c r="A114" s="7" t="s">
        <v>2185</v>
      </c>
      <c r="B114" s="4" t="s">
        <v>2095</v>
      </c>
      <c r="L114" s="4" t="s">
        <v>297</v>
      </c>
      <c r="AB114" s="6"/>
      <c r="AC114" s="6"/>
      <c r="AD114" s="6"/>
    </row>
    <row r="115" spans="1:30" x14ac:dyDescent="0.35">
      <c r="A115" s="7" t="s">
        <v>2186</v>
      </c>
      <c r="B115" s="4" t="s">
        <v>653</v>
      </c>
      <c r="D115" s="4" t="s">
        <v>654</v>
      </c>
      <c r="E115" s="4" t="s">
        <v>655</v>
      </c>
      <c r="G115" s="4" t="s">
        <v>73</v>
      </c>
      <c r="H115" s="4">
        <v>3</v>
      </c>
      <c r="K115" s="4" t="s">
        <v>378</v>
      </c>
      <c r="L115" s="4" t="s">
        <v>92</v>
      </c>
      <c r="M115" s="4" t="s">
        <v>656</v>
      </c>
      <c r="N115" s="4">
        <f>5.25/1000</f>
        <v>5.2500000000000003E-3</v>
      </c>
      <c r="O115" s="4" t="s">
        <v>94</v>
      </c>
      <c r="Q115" s="4" t="s">
        <v>94</v>
      </c>
      <c r="W115" s="4" t="s">
        <v>657</v>
      </c>
      <c r="X115" s="4" t="s">
        <v>655</v>
      </c>
      <c r="AB115" s="6">
        <v>44715</v>
      </c>
      <c r="AC115" s="6"/>
      <c r="AD115" s="6">
        <v>45037</v>
      </c>
    </row>
    <row r="116" spans="1:30" x14ac:dyDescent="0.35">
      <c r="A116" s="7" t="s">
        <v>663</v>
      </c>
      <c r="B116" s="4" t="s">
        <v>664</v>
      </c>
      <c r="D116" s="4" t="s">
        <v>665</v>
      </c>
      <c r="G116" s="4" t="s">
        <v>73</v>
      </c>
      <c r="H116" s="4">
        <v>2</v>
      </c>
      <c r="I116" s="4" t="s">
        <v>666</v>
      </c>
      <c r="J116" s="4" t="s">
        <v>8</v>
      </c>
      <c r="K116" s="4" t="s">
        <v>378</v>
      </c>
      <c r="L116" s="4" t="s">
        <v>92</v>
      </c>
      <c r="M116" s="4" t="s">
        <v>661</v>
      </c>
      <c r="N116" s="4">
        <f>8.78/1000</f>
        <v>8.7799999999999996E-3</v>
      </c>
      <c r="O116" s="4" t="s">
        <v>94</v>
      </c>
      <c r="P116" s="4" t="s">
        <v>35</v>
      </c>
      <c r="Q116" s="4" t="s">
        <v>94</v>
      </c>
      <c r="R116" s="4" t="s">
        <v>52</v>
      </c>
      <c r="S116" s="4" t="s">
        <v>44</v>
      </c>
      <c r="T116" s="4" t="s">
        <v>35</v>
      </c>
      <c r="W116" s="4" t="s">
        <v>2308</v>
      </c>
      <c r="X116" s="4" t="s">
        <v>667</v>
      </c>
      <c r="Y116" s="4" t="s">
        <v>668</v>
      </c>
      <c r="AB116" s="6">
        <v>44715</v>
      </c>
      <c r="AC116" s="6">
        <v>45037</v>
      </c>
      <c r="AD116" s="6">
        <v>45037</v>
      </c>
    </row>
    <row r="117" spans="1:30" x14ac:dyDescent="0.35">
      <c r="A117" s="7" t="s">
        <v>669</v>
      </c>
      <c r="B117" s="4" t="s">
        <v>670</v>
      </c>
      <c r="D117" s="4" t="s">
        <v>671</v>
      </c>
      <c r="E117" s="4" t="s">
        <v>672</v>
      </c>
      <c r="F117" s="4" t="s">
        <v>151</v>
      </c>
      <c r="G117" s="4" t="s">
        <v>89</v>
      </c>
      <c r="H117" s="4">
        <v>1.2</v>
      </c>
      <c r="I117" s="4" t="s">
        <v>673</v>
      </c>
      <c r="J117" s="4" t="s">
        <v>8</v>
      </c>
      <c r="K117" s="4" t="s">
        <v>153</v>
      </c>
      <c r="L117" s="4" t="s">
        <v>92</v>
      </c>
      <c r="M117" s="4" t="s">
        <v>154</v>
      </c>
      <c r="N117" s="4">
        <f>0.81/1000</f>
        <v>8.1000000000000006E-4</v>
      </c>
      <c r="O117" s="4" t="s">
        <v>2415</v>
      </c>
      <c r="Q117" s="4" t="s">
        <v>2071</v>
      </c>
      <c r="R117" s="4" t="s">
        <v>44</v>
      </c>
      <c r="S117" s="4" t="s">
        <v>52</v>
      </c>
      <c r="T117" s="4" t="s">
        <v>105</v>
      </c>
      <c r="W117" s="4" t="s">
        <v>2571</v>
      </c>
      <c r="X117" s="4" t="s">
        <v>674</v>
      </c>
      <c r="Y117" s="4" t="s">
        <v>2448</v>
      </c>
      <c r="AB117" s="6">
        <v>44719</v>
      </c>
      <c r="AC117" s="6">
        <v>45037</v>
      </c>
      <c r="AD117" s="6">
        <v>44733</v>
      </c>
    </row>
    <row r="118" spans="1:30" x14ac:dyDescent="0.35">
      <c r="A118" s="7" t="s">
        <v>675</v>
      </c>
      <c r="B118" s="4" t="s">
        <v>676</v>
      </c>
      <c r="D118" s="4" t="s">
        <v>677</v>
      </c>
      <c r="G118" s="4" t="s">
        <v>89</v>
      </c>
      <c r="H118" s="4">
        <v>1</v>
      </c>
      <c r="K118" s="4" t="s">
        <v>678</v>
      </c>
      <c r="L118" s="4" t="s">
        <v>92</v>
      </c>
      <c r="M118" s="4" t="s">
        <v>679</v>
      </c>
      <c r="N118" s="4">
        <f>8.1/1000</f>
        <v>8.0999999999999996E-3</v>
      </c>
      <c r="O118" s="4" t="s">
        <v>44</v>
      </c>
      <c r="Q118" s="4" t="s">
        <v>44</v>
      </c>
      <c r="R118" s="4" t="s">
        <v>2071</v>
      </c>
      <c r="W118" s="4" t="s">
        <v>2366</v>
      </c>
      <c r="Y118" s="13" t="s">
        <v>2572</v>
      </c>
      <c r="Z118" s="4" t="s">
        <v>2079</v>
      </c>
      <c r="AB118" s="6">
        <v>44727</v>
      </c>
      <c r="AC118" s="6"/>
      <c r="AD118" s="6">
        <v>44733</v>
      </c>
    </row>
    <row r="119" spans="1:30" x14ac:dyDescent="0.35">
      <c r="A119" s="7" t="s">
        <v>680</v>
      </c>
      <c r="B119" s="4" t="s">
        <v>681</v>
      </c>
      <c r="C119" s="4" t="s">
        <v>682</v>
      </c>
      <c r="D119" s="4" t="s">
        <v>683</v>
      </c>
      <c r="E119" s="4" t="s">
        <v>684</v>
      </c>
      <c r="F119" s="4" t="s">
        <v>110</v>
      </c>
      <c r="G119" s="4" t="s">
        <v>73</v>
      </c>
      <c r="I119" s="4" t="s">
        <v>685</v>
      </c>
      <c r="J119" s="4" t="s">
        <v>8</v>
      </c>
      <c r="K119" s="4" t="s">
        <v>133</v>
      </c>
      <c r="L119" s="4" t="s">
        <v>92</v>
      </c>
      <c r="M119" s="4" t="s">
        <v>134</v>
      </c>
      <c r="N119" s="4">
        <f>0.89/1000</f>
        <v>8.9000000000000006E-4</v>
      </c>
      <c r="W119" s="4" t="s">
        <v>135</v>
      </c>
      <c r="X119" s="4" t="s">
        <v>686</v>
      </c>
      <c r="Y119" s="14"/>
      <c r="AA119" s="4" t="s">
        <v>154</v>
      </c>
      <c r="AB119" s="6">
        <v>44719</v>
      </c>
      <c r="AC119" s="6">
        <v>45040</v>
      </c>
      <c r="AD119" s="6">
        <v>45040</v>
      </c>
    </row>
    <row r="120" spans="1:30" x14ac:dyDescent="0.35">
      <c r="A120" s="7" t="s">
        <v>687</v>
      </c>
      <c r="B120" s="4" t="s">
        <v>688</v>
      </c>
      <c r="D120" s="4" t="s">
        <v>689</v>
      </c>
      <c r="G120" s="4" t="s">
        <v>89</v>
      </c>
      <c r="H120" s="4">
        <v>2.5</v>
      </c>
      <c r="K120" s="4" t="s">
        <v>91</v>
      </c>
      <c r="L120" s="4" t="s">
        <v>92</v>
      </c>
      <c r="M120" s="4" t="s">
        <v>154</v>
      </c>
      <c r="N120" s="4">
        <f>0.08/1000</f>
        <v>8.0000000000000007E-5</v>
      </c>
      <c r="O120" s="4" t="s">
        <v>2415</v>
      </c>
      <c r="Q120" s="4" t="s">
        <v>2071</v>
      </c>
      <c r="R120" s="4" t="s">
        <v>52</v>
      </c>
      <c r="S120" s="4" t="s">
        <v>105</v>
      </c>
      <c r="W120" s="4" t="s">
        <v>2396</v>
      </c>
      <c r="Y120" s="13" t="s">
        <v>690</v>
      </c>
      <c r="Z120" s="4" t="s">
        <v>2566</v>
      </c>
      <c r="AB120" s="6">
        <v>44719</v>
      </c>
      <c r="AC120" s="6"/>
      <c r="AD120" s="6">
        <v>44733</v>
      </c>
    </row>
    <row r="121" spans="1:30" x14ac:dyDescent="0.35">
      <c r="A121" s="7" t="s">
        <v>691</v>
      </c>
      <c r="B121" s="4" t="s">
        <v>692</v>
      </c>
      <c r="C121" s="4" t="s">
        <v>693</v>
      </c>
      <c r="D121" s="4" t="s">
        <v>694</v>
      </c>
      <c r="E121" s="4" t="s">
        <v>695</v>
      </c>
      <c r="G121" s="4" t="s">
        <v>89</v>
      </c>
      <c r="I121" s="4" t="s">
        <v>696</v>
      </c>
      <c r="K121" s="4" t="s">
        <v>133</v>
      </c>
      <c r="L121" s="4" t="s">
        <v>92</v>
      </c>
      <c r="M121" s="4" t="s">
        <v>154</v>
      </c>
      <c r="O121" s="4" t="s">
        <v>2415</v>
      </c>
      <c r="Q121" s="4" t="s">
        <v>292</v>
      </c>
      <c r="Y121" s="14"/>
      <c r="Z121" s="4" t="s">
        <v>2566</v>
      </c>
      <c r="AB121" s="6">
        <v>44719</v>
      </c>
      <c r="AC121" s="6">
        <v>45040</v>
      </c>
    </row>
    <row r="122" spans="1:30" x14ac:dyDescent="0.35">
      <c r="A122" s="7" t="s">
        <v>697</v>
      </c>
      <c r="B122" s="4" t="s">
        <v>698</v>
      </c>
      <c r="D122" s="4" t="s">
        <v>699</v>
      </c>
      <c r="E122" s="4" t="s">
        <v>700</v>
      </c>
      <c r="F122" s="4" t="s">
        <v>110</v>
      </c>
      <c r="G122" s="4" t="s">
        <v>73</v>
      </c>
      <c r="I122" s="4" t="s">
        <v>701</v>
      </c>
      <c r="J122" s="4" t="s">
        <v>8</v>
      </c>
      <c r="K122" s="4" t="s">
        <v>378</v>
      </c>
      <c r="L122" s="4" t="s">
        <v>92</v>
      </c>
      <c r="M122" s="4" t="s">
        <v>154</v>
      </c>
      <c r="N122" s="4">
        <f>15.6/1000</f>
        <v>1.5599999999999999E-2</v>
      </c>
      <c r="O122" s="4" t="s">
        <v>2415</v>
      </c>
      <c r="Q122" s="4" t="s">
        <v>44</v>
      </c>
      <c r="W122" s="4" t="s">
        <v>1061</v>
      </c>
      <c r="X122" s="4" t="s">
        <v>702</v>
      </c>
      <c r="Z122" s="4" t="s">
        <v>2080</v>
      </c>
      <c r="AB122" s="6">
        <v>44719</v>
      </c>
      <c r="AC122" s="6">
        <v>45040</v>
      </c>
      <c r="AD122" s="6">
        <v>45027</v>
      </c>
    </row>
    <row r="123" spans="1:30" x14ac:dyDescent="0.35">
      <c r="A123" s="7" t="s">
        <v>703</v>
      </c>
      <c r="B123" s="4" t="s">
        <v>704</v>
      </c>
      <c r="C123" s="4" t="s">
        <v>705</v>
      </c>
      <c r="D123" s="4" t="s">
        <v>706</v>
      </c>
      <c r="E123" s="4" t="s">
        <v>707</v>
      </c>
      <c r="F123" s="4" t="s">
        <v>110</v>
      </c>
      <c r="G123" s="4" t="s">
        <v>73</v>
      </c>
      <c r="I123" s="4" t="s">
        <v>708</v>
      </c>
      <c r="K123" s="4" t="s">
        <v>91</v>
      </c>
      <c r="L123" s="4" t="s">
        <v>92</v>
      </c>
      <c r="M123" s="4" t="s">
        <v>103</v>
      </c>
      <c r="N123" s="4">
        <f>18.33/1000</f>
        <v>1.8329999999999999E-2</v>
      </c>
      <c r="O123" s="4" t="s">
        <v>104</v>
      </c>
      <c r="Q123" s="4" t="s">
        <v>104</v>
      </c>
      <c r="W123" s="4" t="s">
        <v>25</v>
      </c>
      <c r="X123" s="4" t="s">
        <v>2573</v>
      </c>
      <c r="AB123" s="6">
        <v>44728</v>
      </c>
      <c r="AC123" s="6">
        <v>45027</v>
      </c>
      <c r="AD123" s="6">
        <v>44733</v>
      </c>
    </row>
    <row r="124" spans="1:30" x14ac:dyDescent="0.35">
      <c r="A124" s="7" t="s">
        <v>2187</v>
      </c>
      <c r="B124" s="4" t="s">
        <v>2096</v>
      </c>
      <c r="L124" s="4" t="s">
        <v>297</v>
      </c>
      <c r="AB124" s="6"/>
      <c r="AC124" s="6"/>
      <c r="AD124" s="6"/>
    </row>
    <row r="125" spans="1:30" x14ac:dyDescent="0.35">
      <c r="A125" s="7" t="s">
        <v>709</v>
      </c>
      <c r="B125" s="4" t="s">
        <v>710</v>
      </c>
      <c r="D125" s="4" t="s">
        <v>711</v>
      </c>
      <c r="K125" s="4" t="s">
        <v>296</v>
      </c>
      <c r="L125" s="4" t="s">
        <v>297</v>
      </c>
      <c r="AB125" s="6">
        <v>44719</v>
      </c>
      <c r="AC125" s="6"/>
    </row>
    <row r="126" spans="1:30" x14ac:dyDescent="0.35">
      <c r="A126" s="7" t="s">
        <v>712</v>
      </c>
      <c r="B126" s="4" t="s">
        <v>713</v>
      </c>
      <c r="D126" s="4" t="s">
        <v>714</v>
      </c>
      <c r="E126" s="4" t="s">
        <v>715</v>
      </c>
      <c r="F126" s="4" t="s">
        <v>110</v>
      </c>
      <c r="G126" s="4" t="s">
        <v>73</v>
      </c>
      <c r="I126" s="4" t="s">
        <v>716</v>
      </c>
      <c r="K126" s="4" t="s">
        <v>91</v>
      </c>
      <c r="L126" s="4" t="s">
        <v>92</v>
      </c>
      <c r="M126" s="4" t="s">
        <v>103</v>
      </c>
      <c r="N126" s="4">
        <f>0.4/1000</f>
        <v>4.0000000000000002E-4</v>
      </c>
      <c r="O126" s="4" t="s">
        <v>104</v>
      </c>
      <c r="Q126" s="4" t="s">
        <v>104</v>
      </c>
      <c r="W126" s="4" t="s">
        <v>25</v>
      </c>
      <c r="X126" s="4" t="s">
        <v>717</v>
      </c>
      <c r="AB126" s="6">
        <v>44719</v>
      </c>
      <c r="AC126" s="6">
        <v>45040</v>
      </c>
      <c r="AD126" s="6">
        <v>44733</v>
      </c>
    </row>
    <row r="127" spans="1:30" x14ac:dyDescent="0.35">
      <c r="A127" s="7" t="s">
        <v>718</v>
      </c>
      <c r="B127" s="4" t="s">
        <v>719</v>
      </c>
      <c r="D127" s="4" t="s">
        <v>720</v>
      </c>
      <c r="E127" s="4" t="s">
        <v>2282</v>
      </c>
      <c r="G127" s="4" t="s">
        <v>89</v>
      </c>
      <c r="H127" s="4">
        <v>0.9</v>
      </c>
      <c r="I127" s="4" t="s">
        <v>721</v>
      </c>
      <c r="J127" s="4" t="s">
        <v>8</v>
      </c>
      <c r="K127" s="4" t="s">
        <v>722</v>
      </c>
      <c r="L127" s="4" t="s">
        <v>92</v>
      </c>
      <c r="M127" s="4" t="s">
        <v>154</v>
      </c>
      <c r="N127" s="4">
        <f>3.09/1000</f>
        <v>3.0899999999999999E-3</v>
      </c>
      <c r="O127" s="4" t="s">
        <v>2415</v>
      </c>
      <c r="Q127" s="4" t="s">
        <v>2071</v>
      </c>
      <c r="R127" s="4" t="s">
        <v>44</v>
      </c>
      <c r="W127" s="4" t="s">
        <v>2309</v>
      </c>
      <c r="X127" s="10" t="s">
        <v>2397</v>
      </c>
      <c r="Y127" s="4" t="s">
        <v>723</v>
      </c>
      <c r="Z127" s="4" t="s">
        <v>2566</v>
      </c>
      <c r="AB127" s="6">
        <v>44719</v>
      </c>
      <c r="AC127" s="6">
        <v>45040</v>
      </c>
      <c r="AD127" s="6">
        <v>44733</v>
      </c>
    </row>
    <row r="128" spans="1:30" x14ac:dyDescent="0.35">
      <c r="A128" s="7" t="s">
        <v>2355</v>
      </c>
      <c r="B128" s="4" t="s">
        <v>2354</v>
      </c>
      <c r="C128" s="4" t="s">
        <v>724</v>
      </c>
      <c r="D128" s="4" t="s">
        <v>725</v>
      </c>
      <c r="E128" s="4" t="s">
        <v>726</v>
      </c>
      <c r="L128" s="4" t="s">
        <v>169</v>
      </c>
      <c r="AA128" s="4" t="s">
        <v>154</v>
      </c>
      <c r="AB128" s="6">
        <v>44719</v>
      </c>
      <c r="AC128" s="6"/>
    </row>
    <row r="129" spans="1:30" x14ac:dyDescent="0.35">
      <c r="A129" s="7" t="s">
        <v>727</v>
      </c>
      <c r="B129" s="4" t="s">
        <v>728</v>
      </c>
      <c r="D129" s="4" t="s">
        <v>729</v>
      </c>
      <c r="F129" s="4" t="s">
        <v>151</v>
      </c>
      <c r="G129" s="4" t="s">
        <v>89</v>
      </c>
      <c r="H129" s="4">
        <v>0.8</v>
      </c>
      <c r="I129" s="4" t="s">
        <v>730</v>
      </c>
      <c r="K129" s="4" t="s">
        <v>153</v>
      </c>
      <c r="L129" s="4" t="s">
        <v>92</v>
      </c>
      <c r="M129" s="4" t="s">
        <v>154</v>
      </c>
      <c r="N129" s="4">
        <f>0.8456/1000</f>
        <v>8.4560000000000006E-4</v>
      </c>
      <c r="O129" s="4" t="s">
        <v>2415</v>
      </c>
      <c r="Q129" s="4" t="s">
        <v>2071</v>
      </c>
      <c r="R129" s="4" t="s">
        <v>44</v>
      </c>
      <c r="S129" s="4" t="s">
        <v>105</v>
      </c>
      <c r="T129" s="4" t="s">
        <v>2088</v>
      </c>
      <c r="W129" s="4" t="s">
        <v>2398</v>
      </c>
      <c r="X129" s="4" t="s">
        <v>731</v>
      </c>
      <c r="Y129" s="4" t="s">
        <v>2087</v>
      </c>
      <c r="AB129" s="6">
        <v>44719</v>
      </c>
      <c r="AC129" s="6">
        <v>45040</v>
      </c>
      <c r="AD129" s="6">
        <v>44733</v>
      </c>
    </row>
    <row r="130" spans="1:30" x14ac:dyDescent="0.35">
      <c r="A130" s="7" t="s">
        <v>2188</v>
      </c>
      <c r="B130" s="4" t="s">
        <v>732</v>
      </c>
      <c r="D130" s="4" t="s">
        <v>733</v>
      </c>
      <c r="F130" s="4" t="s">
        <v>151</v>
      </c>
      <c r="G130" s="4" t="s">
        <v>89</v>
      </c>
      <c r="H130" s="4">
        <v>2</v>
      </c>
      <c r="I130" s="4" t="s">
        <v>734</v>
      </c>
      <c r="K130" s="4" t="s">
        <v>153</v>
      </c>
      <c r="L130" s="4" t="s">
        <v>92</v>
      </c>
      <c r="M130" s="4" t="s">
        <v>154</v>
      </c>
      <c r="O130" s="4" t="s">
        <v>2415</v>
      </c>
      <c r="Q130" s="4" t="s">
        <v>2071</v>
      </c>
      <c r="V130" s="4">
        <v>5</v>
      </c>
      <c r="W130" s="4" t="s">
        <v>2367</v>
      </c>
      <c r="X130" s="4" t="s">
        <v>735</v>
      </c>
      <c r="Y130" s="4" t="s">
        <v>2368</v>
      </c>
      <c r="Z130" s="4" t="s">
        <v>2566</v>
      </c>
      <c r="AB130" s="6">
        <v>44719</v>
      </c>
      <c r="AC130" s="6">
        <v>45040</v>
      </c>
    </row>
    <row r="131" spans="1:30" x14ac:dyDescent="0.35">
      <c r="A131" s="7" t="s">
        <v>2189</v>
      </c>
      <c r="B131" s="4" t="s">
        <v>2267</v>
      </c>
      <c r="D131" s="4" t="s">
        <v>736</v>
      </c>
      <c r="E131" s="4" t="s">
        <v>737</v>
      </c>
      <c r="K131" s="4" t="s">
        <v>2075</v>
      </c>
      <c r="L131" s="4" t="s">
        <v>33</v>
      </c>
      <c r="M131" s="4" t="s">
        <v>33</v>
      </c>
      <c r="X131" s="4" t="s">
        <v>2310</v>
      </c>
      <c r="AA131" s="4" t="s">
        <v>168</v>
      </c>
      <c r="AB131" s="6">
        <v>44719</v>
      </c>
      <c r="AC131" s="6"/>
    </row>
    <row r="132" spans="1:30" x14ac:dyDescent="0.35">
      <c r="A132" s="7" t="s">
        <v>738</v>
      </c>
      <c r="B132" s="4" t="s">
        <v>739</v>
      </c>
      <c r="D132" s="4" t="s">
        <v>740</v>
      </c>
      <c r="E132" s="4" t="s">
        <v>741</v>
      </c>
      <c r="K132" s="4" t="s">
        <v>91</v>
      </c>
      <c r="L132" s="4" t="s">
        <v>169</v>
      </c>
      <c r="AA132" s="4" t="s">
        <v>154</v>
      </c>
      <c r="AB132" s="6">
        <v>44719</v>
      </c>
      <c r="AC132" s="6"/>
    </row>
    <row r="133" spans="1:30" x14ac:dyDescent="0.35">
      <c r="A133" s="7" t="s">
        <v>2190</v>
      </c>
      <c r="B133" s="4" t="s">
        <v>742</v>
      </c>
      <c r="D133" s="4" t="s">
        <v>743</v>
      </c>
      <c r="E133" s="4" t="s">
        <v>744</v>
      </c>
      <c r="G133" s="4" t="s">
        <v>100</v>
      </c>
      <c r="H133" s="4">
        <v>10</v>
      </c>
      <c r="I133" s="4" t="s">
        <v>745</v>
      </c>
      <c r="K133" s="4" t="s">
        <v>235</v>
      </c>
      <c r="L133" s="4" t="s">
        <v>92</v>
      </c>
      <c r="M133" s="4" t="s">
        <v>103</v>
      </c>
      <c r="N133" s="4">
        <f>15.26/1000</f>
        <v>1.5259999999999999E-2</v>
      </c>
      <c r="O133" s="4" t="s">
        <v>104</v>
      </c>
      <c r="Q133" s="4" t="s">
        <v>104</v>
      </c>
      <c r="W133" s="4" t="s">
        <v>25</v>
      </c>
      <c r="X133" s="4" t="s">
        <v>746</v>
      </c>
      <c r="AB133" s="6">
        <v>44719</v>
      </c>
      <c r="AC133" s="6">
        <v>45040</v>
      </c>
      <c r="AD133" s="6">
        <v>44733</v>
      </c>
    </row>
    <row r="134" spans="1:30" x14ac:dyDescent="0.35">
      <c r="A134" s="7" t="s">
        <v>747</v>
      </c>
      <c r="B134" s="4" t="s">
        <v>748</v>
      </c>
      <c r="D134" s="4" t="s">
        <v>749</v>
      </c>
      <c r="E134" s="4" t="s">
        <v>750</v>
      </c>
      <c r="G134" s="4" t="s">
        <v>89</v>
      </c>
      <c r="H134" s="4">
        <v>2</v>
      </c>
      <c r="I134" s="4" t="s">
        <v>751</v>
      </c>
      <c r="K134" s="4" t="s">
        <v>91</v>
      </c>
      <c r="L134" s="4" t="s">
        <v>92</v>
      </c>
      <c r="M134" s="4" t="s">
        <v>495</v>
      </c>
      <c r="N134" s="4">
        <f>0.1/1000</f>
        <v>1E-4</v>
      </c>
      <c r="O134" s="4" t="s">
        <v>104</v>
      </c>
      <c r="Q134" s="4" t="s">
        <v>104</v>
      </c>
      <c r="R134" s="4" t="s">
        <v>44</v>
      </c>
      <c r="S134" s="4" t="s">
        <v>52</v>
      </c>
      <c r="W134" s="4" t="s">
        <v>2574</v>
      </c>
      <c r="X134" s="4" t="s">
        <v>752</v>
      </c>
      <c r="Y134" s="4" t="s">
        <v>2575</v>
      </c>
      <c r="AB134" s="6">
        <v>44719</v>
      </c>
      <c r="AC134" s="6">
        <v>45040</v>
      </c>
      <c r="AD134" s="6">
        <v>44733</v>
      </c>
    </row>
    <row r="135" spans="1:30" x14ac:dyDescent="0.35">
      <c r="A135" s="7" t="s">
        <v>753</v>
      </c>
      <c r="B135" s="4" t="s">
        <v>754</v>
      </c>
      <c r="D135" s="4" t="s">
        <v>755</v>
      </c>
      <c r="K135" s="4" t="s">
        <v>296</v>
      </c>
      <c r="L135" s="4" t="s">
        <v>297</v>
      </c>
      <c r="AB135" s="6">
        <v>44719</v>
      </c>
      <c r="AC135" s="6"/>
    </row>
    <row r="136" spans="1:30" x14ac:dyDescent="0.35">
      <c r="A136" s="7" t="s">
        <v>2191</v>
      </c>
      <c r="B136" s="4" t="s">
        <v>756</v>
      </c>
      <c r="D136" s="4" t="s">
        <v>757</v>
      </c>
      <c r="F136" s="4" t="s">
        <v>151</v>
      </c>
      <c r="G136" s="4" t="s">
        <v>89</v>
      </c>
      <c r="H136" s="4">
        <v>0.7</v>
      </c>
      <c r="I136" s="4" t="s">
        <v>758</v>
      </c>
      <c r="J136" s="4" t="s">
        <v>8</v>
      </c>
      <c r="K136" s="4" t="s">
        <v>153</v>
      </c>
      <c r="L136" s="4" t="s">
        <v>92</v>
      </c>
      <c r="M136" s="4" t="s">
        <v>154</v>
      </c>
      <c r="N136" s="4">
        <f>0.2/1000</f>
        <v>2.0000000000000001E-4</v>
      </c>
      <c r="O136" s="4" t="s">
        <v>2415</v>
      </c>
      <c r="Q136" s="4" t="s">
        <v>2071</v>
      </c>
      <c r="W136" s="4" t="s">
        <v>2577</v>
      </c>
      <c r="X136" s="4" t="s">
        <v>2576</v>
      </c>
      <c r="Y136" s="4" t="s">
        <v>2578</v>
      </c>
      <c r="AB136" s="6">
        <v>44719</v>
      </c>
      <c r="AC136" s="6">
        <v>45029</v>
      </c>
      <c r="AD136" s="6">
        <v>44733</v>
      </c>
    </row>
    <row r="137" spans="1:30" x14ac:dyDescent="0.35">
      <c r="A137" s="7" t="s">
        <v>759</v>
      </c>
      <c r="B137" s="4" t="s">
        <v>760</v>
      </c>
      <c r="D137" s="4" t="s">
        <v>761</v>
      </c>
      <c r="E137" s="4" t="s">
        <v>762</v>
      </c>
      <c r="G137" s="4" t="s">
        <v>100</v>
      </c>
      <c r="H137" s="4">
        <v>5</v>
      </c>
      <c r="I137" s="4" t="s">
        <v>763</v>
      </c>
      <c r="J137" s="4" t="s">
        <v>8</v>
      </c>
      <c r="K137" s="4" t="s">
        <v>91</v>
      </c>
      <c r="L137" s="4" t="s">
        <v>92</v>
      </c>
      <c r="M137" s="4" t="s">
        <v>154</v>
      </c>
      <c r="N137" s="4">
        <f>0.07/1000</f>
        <v>7.0000000000000007E-5</v>
      </c>
      <c r="O137" s="4" t="s">
        <v>2415</v>
      </c>
      <c r="Q137" s="4" t="s">
        <v>292</v>
      </c>
      <c r="X137" s="4" t="s">
        <v>764</v>
      </c>
      <c r="Z137" s="4" t="s">
        <v>2566</v>
      </c>
      <c r="AB137" s="6">
        <v>44719</v>
      </c>
      <c r="AC137" s="6">
        <v>45040</v>
      </c>
      <c r="AD137" s="6">
        <v>44733</v>
      </c>
    </row>
    <row r="138" spans="1:30" x14ac:dyDescent="0.35">
      <c r="A138" s="7" t="s">
        <v>765</v>
      </c>
      <c r="B138" s="4" t="s">
        <v>766</v>
      </c>
      <c r="D138" s="4" t="s">
        <v>767</v>
      </c>
      <c r="G138" s="4" t="s">
        <v>73</v>
      </c>
      <c r="H138" s="4">
        <v>2.5</v>
      </c>
      <c r="I138" s="4" t="s">
        <v>768</v>
      </c>
      <c r="K138" s="4" t="s">
        <v>91</v>
      </c>
      <c r="L138" s="4" t="s">
        <v>92</v>
      </c>
      <c r="M138" s="4" t="s">
        <v>154</v>
      </c>
      <c r="N138" s="4">
        <f>0.08/1000</f>
        <v>8.0000000000000007E-5</v>
      </c>
      <c r="O138" s="4" t="s">
        <v>2415</v>
      </c>
      <c r="Q138" s="4" t="s">
        <v>292</v>
      </c>
      <c r="W138" s="4" t="s">
        <v>2579</v>
      </c>
      <c r="X138" s="4" t="s">
        <v>2580</v>
      </c>
      <c r="AB138" s="6">
        <v>44719</v>
      </c>
      <c r="AC138" s="6">
        <v>45029</v>
      </c>
      <c r="AD138" s="6">
        <v>44733</v>
      </c>
    </row>
    <row r="139" spans="1:30" x14ac:dyDescent="0.35">
      <c r="A139" s="7" t="s">
        <v>769</v>
      </c>
      <c r="B139" s="4" t="s">
        <v>770</v>
      </c>
      <c r="D139" s="4" t="s">
        <v>771</v>
      </c>
      <c r="G139" s="4" t="s">
        <v>73</v>
      </c>
      <c r="H139" s="4">
        <v>3</v>
      </c>
      <c r="I139" s="4" t="s">
        <v>772</v>
      </c>
      <c r="K139" s="4" t="s">
        <v>91</v>
      </c>
      <c r="L139" s="4" t="s">
        <v>92</v>
      </c>
      <c r="M139" s="4" t="s">
        <v>154</v>
      </c>
      <c r="N139" s="4">
        <f>0.016/1000</f>
        <v>1.5999999999999999E-5</v>
      </c>
      <c r="O139" s="4" t="s">
        <v>2415</v>
      </c>
      <c r="Q139" s="4" t="s">
        <v>292</v>
      </c>
      <c r="W139" s="4" t="s">
        <v>25</v>
      </c>
      <c r="X139" s="4" t="s">
        <v>773</v>
      </c>
      <c r="AB139" s="6">
        <v>44719</v>
      </c>
      <c r="AC139" s="6">
        <v>45040</v>
      </c>
      <c r="AD139" s="6">
        <v>44733</v>
      </c>
    </row>
    <row r="140" spans="1:30" x14ac:dyDescent="0.35">
      <c r="A140" s="7" t="s">
        <v>774</v>
      </c>
      <c r="B140" s="4" t="s">
        <v>775</v>
      </c>
      <c r="D140" s="4" t="s">
        <v>776</v>
      </c>
      <c r="G140" s="4" t="s">
        <v>73</v>
      </c>
      <c r="H140" s="4">
        <v>0.3</v>
      </c>
      <c r="I140" s="4" t="s">
        <v>777</v>
      </c>
      <c r="K140" s="4" t="s">
        <v>91</v>
      </c>
      <c r="L140" s="4" t="s">
        <v>92</v>
      </c>
      <c r="M140" s="4" t="s">
        <v>154</v>
      </c>
      <c r="N140" s="4">
        <f>0.1322/1000</f>
        <v>1.3220000000000001E-4</v>
      </c>
      <c r="O140" s="4" t="s">
        <v>2415</v>
      </c>
      <c r="Q140" s="4" t="s">
        <v>2071</v>
      </c>
      <c r="R140" s="4" t="s">
        <v>105</v>
      </c>
      <c r="S140" s="4" t="s">
        <v>52</v>
      </c>
      <c r="V140" s="4" t="s">
        <v>778</v>
      </c>
      <c r="W140" s="4" t="s">
        <v>2582</v>
      </c>
      <c r="X140" s="4" t="s">
        <v>779</v>
      </c>
      <c r="Y140" s="4" t="s">
        <v>2581</v>
      </c>
      <c r="AB140" s="6">
        <v>44719</v>
      </c>
      <c r="AC140" s="6">
        <v>45040</v>
      </c>
      <c r="AD140" s="6">
        <v>44733</v>
      </c>
    </row>
    <row r="141" spans="1:30" x14ac:dyDescent="0.35">
      <c r="A141" s="7" t="s">
        <v>780</v>
      </c>
      <c r="B141" s="4" t="s">
        <v>781</v>
      </c>
      <c r="D141" s="4" t="s">
        <v>782</v>
      </c>
      <c r="G141" s="4" t="s">
        <v>73</v>
      </c>
      <c r="H141" s="4">
        <v>2</v>
      </c>
      <c r="I141" s="4" t="s">
        <v>783</v>
      </c>
      <c r="K141" s="4" t="s">
        <v>91</v>
      </c>
      <c r="L141" s="4" t="s">
        <v>92</v>
      </c>
      <c r="M141" s="4" t="s">
        <v>154</v>
      </c>
      <c r="N141" s="4">
        <f>0.012/1000</f>
        <v>1.2E-5</v>
      </c>
      <c r="O141" s="4" t="s">
        <v>2415</v>
      </c>
      <c r="Q141" s="4" t="s">
        <v>2071</v>
      </c>
      <c r="W141" s="4" t="s">
        <v>2583</v>
      </c>
      <c r="X141" s="4" t="s">
        <v>784</v>
      </c>
      <c r="Y141" s="4" t="s">
        <v>136</v>
      </c>
      <c r="AB141" s="6">
        <v>44719</v>
      </c>
      <c r="AC141" s="6">
        <v>45040</v>
      </c>
      <c r="AD141" s="6">
        <v>44733</v>
      </c>
    </row>
    <row r="142" spans="1:30" x14ac:dyDescent="0.35">
      <c r="A142" s="7" t="s">
        <v>785</v>
      </c>
      <c r="B142" s="4" t="s">
        <v>786</v>
      </c>
      <c r="D142" s="4" t="s">
        <v>787</v>
      </c>
      <c r="E142" s="4" t="s">
        <v>2163</v>
      </c>
      <c r="G142" s="4" t="s">
        <v>73</v>
      </c>
      <c r="H142" s="4">
        <v>0.5</v>
      </c>
      <c r="K142" s="4" t="s">
        <v>91</v>
      </c>
      <c r="L142" s="4" t="s">
        <v>92</v>
      </c>
      <c r="N142" s="4">
        <f>0.048/1000</f>
        <v>4.8000000000000001E-5</v>
      </c>
      <c r="AA142" s="4" t="s">
        <v>154</v>
      </c>
      <c r="AB142" s="6">
        <v>44719</v>
      </c>
      <c r="AC142" s="6"/>
      <c r="AD142" s="6">
        <v>44733</v>
      </c>
    </row>
    <row r="143" spans="1:30" x14ac:dyDescent="0.35">
      <c r="A143" s="7" t="s">
        <v>788</v>
      </c>
      <c r="B143" s="4" t="s">
        <v>789</v>
      </c>
      <c r="D143" s="4" t="s">
        <v>790</v>
      </c>
      <c r="G143" s="4" t="s">
        <v>89</v>
      </c>
      <c r="H143" s="4">
        <v>0.4</v>
      </c>
      <c r="I143" s="4" t="s">
        <v>791</v>
      </c>
      <c r="J143" s="4" t="s">
        <v>8</v>
      </c>
      <c r="K143" s="4" t="s">
        <v>133</v>
      </c>
      <c r="L143" s="4" t="s">
        <v>92</v>
      </c>
      <c r="M143" s="4" t="s">
        <v>134</v>
      </c>
      <c r="N143" s="4">
        <f>0.0524/1000</f>
        <v>5.24E-5</v>
      </c>
      <c r="O143" s="4" t="s">
        <v>104</v>
      </c>
      <c r="Q143" s="4" t="s">
        <v>104</v>
      </c>
      <c r="R143" s="4" t="s">
        <v>44</v>
      </c>
      <c r="S143" s="5"/>
      <c r="T143" s="5"/>
      <c r="U143" s="5"/>
      <c r="V143" s="5"/>
      <c r="W143" s="4" t="s">
        <v>25</v>
      </c>
      <c r="X143" s="4" t="s">
        <v>792</v>
      </c>
      <c r="AB143" s="6">
        <v>44719</v>
      </c>
      <c r="AC143" s="6">
        <v>45029</v>
      </c>
      <c r="AD143" s="6">
        <v>45029</v>
      </c>
    </row>
    <row r="144" spans="1:30" x14ac:dyDescent="0.35">
      <c r="A144" s="7" t="s">
        <v>801</v>
      </c>
      <c r="B144" s="4" t="s">
        <v>802</v>
      </c>
      <c r="C144" s="4" t="s">
        <v>803</v>
      </c>
      <c r="G144" s="4" t="s">
        <v>89</v>
      </c>
      <c r="H144" s="4">
        <v>0.6</v>
      </c>
      <c r="I144" s="4" t="s">
        <v>804</v>
      </c>
      <c r="J144" s="4" t="s">
        <v>8</v>
      </c>
      <c r="K144" s="4" t="s">
        <v>91</v>
      </c>
      <c r="L144" s="4" t="s">
        <v>92</v>
      </c>
      <c r="M144" s="4" t="s">
        <v>154</v>
      </c>
      <c r="N144" s="4">
        <f>0.03/1000</f>
        <v>2.9999999999999997E-5</v>
      </c>
      <c r="O144" s="4" t="s">
        <v>2415</v>
      </c>
      <c r="Q144" s="4" t="s">
        <v>44</v>
      </c>
      <c r="W144" s="4" t="s">
        <v>25</v>
      </c>
      <c r="X144" s="4" t="s">
        <v>2584</v>
      </c>
      <c r="Y144" s="4" t="s">
        <v>805</v>
      </c>
      <c r="Z144" s="4" t="s">
        <v>2566</v>
      </c>
      <c r="AB144" s="6">
        <v>44719</v>
      </c>
      <c r="AC144" s="6">
        <v>45029</v>
      </c>
      <c r="AD144" s="6">
        <v>45029</v>
      </c>
    </row>
    <row r="145" spans="1:30" x14ac:dyDescent="0.35">
      <c r="A145" s="7" t="s">
        <v>2262</v>
      </c>
      <c r="B145" s="4" t="s">
        <v>2268</v>
      </c>
      <c r="D145" s="4" t="s">
        <v>806</v>
      </c>
      <c r="E145" s="4" t="s">
        <v>807</v>
      </c>
      <c r="K145" s="4" t="s">
        <v>378</v>
      </c>
      <c r="L145" s="4" t="s">
        <v>92</v>
      </c>
      <c r="AA145" s="4" t="s">
        <v>154</v>
      </c>
      <c r="AB145" s="6">
        <v>44719</v>
      </c>
      <c r="AC145" s="6"/>
    </row>
    <row r="146" spans="1:30" x14ac:dyDescent="0.35">
      <c r="A146" s="7" t="s">
        <v>808</v>
      </c>
      <c r="B146" s="4" t="s">
        <v>809</v>
      </c>
      <c r="D146" s="4" t="s">
        <v>810</v>
      </c>
      <c r="G146" s="4" t="s">
        <v>89</v>
      </c>
      <c r="H146" s="4">
        <v>0.3</v>
      </c>
      <c r="K146" s="4" t="s">
        <v>91</v>
      </c>
      <c r="L146" s="4" t="s">
        <v>92</v>
      </c>
      <c r="M146" s="4" t="s">
        <v>154</v>
      </c>
      <c r="N146" s="4">
        <f>1.5/1000</f>
        <v>1.5E-3</v>
      </c>
      <c r="O146" s="4" t="s">
        <v>2415</v>
      </c>
      <c r="Q146" s="4" t="s">
        <v>292</v>
      </c>
      <c r="W146" s="4" t="s">
        <v>2586</v>
      </c>
      <c r="Y146" s="4" t="s">
        <v>2585</v>
      </c>
      <c r="AB146" s="6">
        <v>44719</v>
      </c>
      <c r="AC146" s="6"/>
      <c r="AD146" s="6">
        <v>44733</v>
      </c>
    </row>
    <row r="147" spans="1:30" x14ac:dyDescent="0.35">
      <c r="A147" s="7" t="s">
        <v>2192</v>
      </c>
      <c r="B147" s="4" t="s">
        <v>811</v>
      </c>
      <c r="D147" s="4" t="s">
        <v>812</v>
      </c>
      <c r="E147" s="4" t="s">
        <v>813</v>
      </c>
      <c r="G147" s="4" t="s">
        <v>100</v>
      </c>
      <c r="H147" s="4">
        <v>30</v>
      </c>
      <c r="I147" s="4" t="s">
        <v>814</v>
      </c>
      <c r="K147" s="4" t="s">
        <v>678</v>
      </c>
      <c r="L147" s="4" t="s">
        <v>92</v>
      </c>
      <c r="M147" s="4" t="s">
        <v>154</v>
      </c>
      <c r="N147" s="4">
        <f>8.91/1000</f>
        <v>8.9099999999999995E-3</v>
      </c>
      <c r="O147" s="4" t="s">
        <v>2415</v>
      </c>
      <c r="Q147" s="4" t="s">
        <v>2071</v>
      </c>
      <c r="S147" s="5"/>
      <c r="T147" s="5"/>
      <c r="U147" s="5"/>
      <c r="V147" s="5"/>
      <c r="W147" s="4" t="s">
        <v>2586</v>
      </c>
      <c r="Y147" s="13" t="s">
        <v>815</v>
      </c>
      <c r="AB147" s="6">
        <v>44719</v>
      </c>
      <c r="AC147" s="6">
        <v>45040</v>
      </c>
      <c r="AD147" s="6">
        <v>44733</v>
      </c>
    </row>
    <row r="148" spans="1:30" x14ac:dyDescent="0.35">
      <c r="A148" s="7" t="s">
        <v>818</v>
      </c>
      <c r="B148" s="4" t="s">
        <v>819</v>
      </c>
      <c r="D148" s="4" t="s">
        <v>820</v>
      </c>
      <c r="E148" s="4" t="s">
        <v>821</v>
      </c>
      <c r="F148" s="4" t="s">
        <v>30</v>
      </c>
      <c r="G148" s="4" t="s">
        <v>73</v>
      </c>
      <c r="H148" s="4">
        <v>6</v>
      </c>
      <c r="I148" s="4" t="s">
        <v>822</v>
      </c>
      <c r="J148" s="4" t="s">
        <v>8</v>
      </c>
      <c r="K148" s="4" t="s">
        <v>459</v>
      </c>
      <c r="L148" s="4" t="s">
        <v>33</v>
      </c>
      <c r="M148" s="4" t="s">
        <v>33</v>
      </c>
      <c r="N148" s="4">
        <f>38.95/1000</f>
        <v>3.8950000000000005E-2</v>
      </c>
      <c r="O148" s="4" t="s">
        <v>52</v>
      </c>
      <c r="Q148" s="4" t="s">
        <v>52</v>
      </c>
      <c r="W148" s="4" t="s">
        <v>2517</v>
      </c>
      <c r="X148" s="4" t="s">
        <v>2518</v>
      </c>
      <c r="Y148" s="4" t="s">
        <v>823</v>
      </c>
      <c r="AB148" s="6">
        <v>44719</v>
      </c>
      <c r="AC148" s="6"/>
      <c r="AD148" s="6">
        <v>45093</v>
      </c>
    </row>
    <row r="149" spans="1:30" x14ac:dyDescent="0.35">
      <c r="A149" s="7" t="s">
        <v>824</v>
      </c>
      <c r="B149" s="4" t="s">
        <v>825</v>
      </c>
      <c r="D149" s="4" t="s">
        <v>826</v>
      </c>
      <c r="E149" s="4" t="s">
        <v>827</v>
      </c>
      <c r="F149" s="4" t="s">
        <v>30</v>
      </c>
      <c r="G149" s="4" t="s">
        <v>73</v>
      </c>
      <c r="H149" s="4">
        <v>7</v>
      </c>
      <c r="I149" s="4" t="s">
        <v>828</v>
      </c>
      <c r="K149" s="4" t="s">
        <v>459</v>
      </c>
      <c r="L149" s="4" t="s">
        <v>33</v>
      </c>
      <c r="M149" s="4" t="s">
        <v>33</v>
      </c>
      <c r="N149" s="4">
        <f>29.67/1000</f>
        <v>2.9670000000000002E-2</v>
      </c>
      <c r="O149" s="4" t="s">
        <v>52</v>
      </c>
      <c r="Q149" s="4" t="s">
        <v>52</v>
      </c>
      <c r="W149" s="4" t="s">
        <v>829</v>
      </c>
      <c r="X149" s="10" t="s">
        <v>830</v>
      </c>
      <c r="Y149" s="4" t="s">
        <v>831</v>
      </c>
      <c r="AB149" s="6">
        <v>44719</v>
      </c>
      <c r="AC149" s="6"/>
      <c r="AD149" s="6">
        <v>45093</v>
      </c>
    </row>
    <row r="150" spans="1:30" x14ac:dyDescent="0.35">
      <c r="A150" s="7" t="s">
        <v>832</v>
      </c>
      <c r="B150" s="4" t="s">
        <v>833</v>
      </c>
      <c r="D150" s="4" t="s">
        <v>834</v>
      </c>
      <c r="G150" s="4" t="s">
        <v>89</v>
      </c>
      <c r="H150" s="4">
        <v>1.8</v>
      </c>
      <c r="I150" s="4" t="s">
        <v>835</v>
      </c>
      <c r="J150" s="4" t="s">
        <v>8</v>
      </c>
      <c r="K150" s="4" t="s">
        <v>133</v>
      </c>
      <c r="L150" s="4" t="s">
        <v>92</v>
      </c>
      <c r="M150" s="4" t="s">
        <v>134</v>
      </c>
      <c r="N150" s="4">
        <f>0.29/1000</f>
        <v>2.9E-4</v>
      </c>
      <c r="O150" s="4" t="s">
        <v>104</v>
      </c>
      <c r="Q150" s="4" t="s">
        <v>104</v>
      </c>
      <c r="R150" s="4" t="s">
        <v>52</v>
      </c>
      <c r="S150" s="4" t="s">
        <v>44</v>
      </c>
      <c r="T150" s="4" t="s">
        <v>105</v>
      </c>
      <c r="W150" s="4" t="s">
        <v>2587</v>
      </c>
      <c r="X150" s="4" t="s">
        <v>836</v>
      </c>
      <c r="Y150" s="4" t="s">
        <v>2449</v>
      </c>
      <c r="AB150" s="6">
        <v>44719</v>
      </c>
      <c r="AC150" s="6">
        <v>45029</v>
      </c>
      <c r="AD150" s="6">
        <v>44733</v>
      </c>
    </row>
    <row r="151" spans="1:30" x14ac:dyDescent="0.35">
      <c r="A151" s="7" t="s">
        <v>2193</v>
      </c>
      <c r="B151" s="4" t="s">
        <v>837</v>
      </c>
      <c r="D151" s="4" t="s">
        <v>838</v>
      </c>
      <c r="E151" s="4" t="s">
        <v>839</v>
      </c>
      <c r="G151" s="4" t="s">
        <v>89</v>
      </c>
      <c r="H151" s="4">
        <v>0.7</v>
      </c>
      <c r="I151" s="4" t="s">
        <v>840</v>
      </c>
      <c r="K151" s="4" t="s">
        <v>91</v>
      </c>
      <c r="L151" s="4" t="s">
        <v>92</v>
      </c>
      <c r="M151" s="4" t="s">
        <v>841</v>
      </c>
      <c r="N151" s="4">
        <f>5.8/1000</f>
        <v>5.7999999999999996E-3</v>
      </c>
      <c r="O151" s="4" t="s">
        <v>44</v>
      </c>
      <c r="Q151" s="4" t="s">
        <v>44</v>
      </c>
      <c r="W151" s="4" t="s">
        <v>2586</v>
      </c>
      <c r="Y151" s="4" t="s">
        <v>842</v>
      </c>
      <c r="AB151" s="6">
        <v>44719</v>
      </c>
      <c r="AC151" s="6">
        <v>45040</v>
      </c>
      <c r="AD151" s="6">
        <v>44733</v>
      </c>
    </row>
    <row r="152" spans="1:30" x14ac:dyDescent="0.35">
      <c r="A152" s="7" t="s">
        <v>2194</v>
      </c>
      <c r="B152" s="4" t="s">
        <v>843</v>
      </c>
      <c r="D152" s="4" t="s">
        <v>844</v>
      </c>
      <c r="E152" s="5" t="s">
        <v>845</v>
      </c>
      <c r="F152" s="5"/>
      <c r="G152" s="4" t="s">
        <v>73</v>
      </c>
      <c r="H152" s="4">
        <v>2</v>
      </c>
      <c r="I152" s="4" t="s">
        <v>846</v>
      </c>
      <c r="K152" s="4" t="s">
        <v>847</v>
      </c>
      <c r="L152" s="4" t="s">
        <v>33</v>
      </c>
      <c r="M152" s="4" t="s">
        <v>33</v>
      </c>
      <c r="N152" s="4">
        <f>7.1/1000</f>
        <v>7.0999999999999995E-3</v>
      </c>
      <c r="O152" s="4" t="s">
        <v>52</v>
      </c>
      <c r="Q152" s="5" t="s">
        <v>52</v>
      </c>
      <c r="W152" s="4" t="s">
        <v>848</v>
      </c>
      <c r="X152" s="4" t="s">
        <v>849</v>
      </c>
      <c r="AB152" s="6">
        <v>44727</v>
      </c>
      <c r="AC152" s="6"/>
      <c r="AD152" s="6">
        <v>45093</v>
      </c>
    </row>
    <row r="153" spans="1:30" x14ac:dyDescent="0.35">
      <c r="A153" s="7" t="s">
        <v>850</v>
      </c>
      <c r="B153" s="4" t="s">
        <v>851</v>
      </c>
      <c r="D153" s="4" t="s">
        <v>852</v>
      </c>
      <c r="E153" s="4" t="s">
        <v>853</v>
      </c>
      <c r="F153" s="4" t="s">
        <v>151</v>
      </c>
      <c r="G153" s="4" t="s">
        <v>89</v>
      </c>
      <c r="H153" s="4">
        <v>0.45</v>
      </c>
      <c r="I153" s="4" t="s">
        <v>854</v>
      </c>
      <c r="J153" s="4" t="s">
        <v>8</v>
      </c>
      <c r="K153" s="4" t="s">
        <v>153</v>
      </c>
      <c r="L153" s="4" t="s">
        <v>92</v>
      </c>
      <c r="M153" s="4" t="s">
        <v>855</v>
      </c>
      <c r="N153" s="4">
        <f>1.1/1000</f>
        <v>1.1000000000000001E-3</v>
      </c>
      <c r="O153" s="4" t="s">
        <v>105</v>
      </c>
      <c r="Q153" s="4" t="s">
        <v>105</v>
      </c>
      <c r="R153" s="4" t="s">
        <v>52</v>
      </c>
      <c r="W153" s="4" t="s">
        <v>2450</v>
      </c>
      <c r="X153" s="10" t="s">
        <v>856</v>
      </c>
      <c r="Y153" s="4" t="s">
        <v>2451</v>
      </c>
      <c r="AB153" s="6">
        <v>44719</v>
      </c>
      <c r="AC153" s="6"/>
      <c r="AD153" s="6">
        <v>44733</v>
      </c>
    </row>
    <row r="154" spans="1:30" x14ac:dyDescent="0.35">
      <c r="A154" s="7" t="s">
        <v>857</v>
      </c>
      <c r="B154" s="4" t="s">
        <v>858</v>
      </c>
      <c r="D154" s="4" t="s">
        <v>859</v>
      </c>
      <c r="E154" s="15" t="s">
        <v>860</v>
      </c>
      <c r="F154" s="15"/>
      <c r="G154" s="15" t="s">
        <v>100</v>
      </c>
      <c r="H154" s="15">
        <v>55</v>
      </c>
      <c r="I154" s="15" t="s">
        <v>861</v>
      </c>
      <c r="J154" s="15"/>
      <c r="K154" s="4" t="s">
        <v>862</v>
      </c>
      <c r="L154" s="4" t="s">
        <v>33</v>
      </c>
      <c r="M154" s="4" t="s">
        <v>33</v>
      </c>
      <c r="N154" s="4">
        <f>2.03/1000</f>
        <v>2.0299999999999997E-3</v>
      </c>
      <c r="O154" s="4" t="s">
        <v>52</v>
      </c>
      <c r="Q154" s="4" t="s">
        <v>52</v>
      </c>
      <c r="W154" s="4" t="s">
        <v>863</v>
      </c>
      <c r="X154" s="4" t="s">
        <v>864</v>
      </c>
      <c r="AB154" s="6">
        <v>44719</v>
      </c>
      <c r="AC154" s="6">
        <v>45093</v>
      </c>
      <c r="AD154" s="6">
        <v>45093</v>
      </c>
    </row>
    <row r="155" spans="1:30" x14ac:dyDescent="0.35">
      <c r="A155" s="7" t="s">
        <v>865</v>
      </c>
      <c r="B155" s="4" t="s">
        <v>866</v>
      </c>
      <c r="D155" s="4" t="s">
        <v>867</v>
      </c>
      <c r="G155" s="4" t="s">
        <v>100</v>
      </c>
      <c r="H155" s="4">
        <v>30</v>
      </c>
      <c r="I155" s="4" t="s">
        <v>868</v>
      </c>
      <c r="J155" s="4" t="s">
        <v>8</v>
      </c>
      <c r="K155" s="4" t="s">
        <v>102</v>
      </c>
      <c r="L155" s="4" t="s">
        <v>92</v>
      </c>
      <c r="M155" s="4" t="s">
        <v>103</v>
      </c>
      <c r="N155" s="4">
        <f>61.6/1000</f>
        <v>6.1600000000000002E-2</v>
      </c>
      <c r="O155" s="4" t="s">
        <v>104</v>
      </c>
      <c r="Q155" s="4" t="s">
        <v>104</v>
      </c>
      <c r="R155" s="4" t="s">
        <v>52</v>
      </c>
      <c r="W155" s="4" t="s">
        <v>2588</v>
      </c>
      <c r="X155" s="4" t="s">
        <v>869</v>
      </c>
      <c r="Y155" s="4" t="s">
        <v>870</v>
      </c>
      <c r="AB155" s="6">
        <v>44719</v>
      </c>
      <c r="AC155" s="6">
        <v>45040</v>
      </c>
      <c r="AD155" s="6">
        <v>44733</v>
      </c>
    </row>
    <row r="156" spans="1:30" x14ac:dyDescent="0.35">
      <c r="A156" s="7" t="s">
        <v>871</v>
      </c>
      <c r="B156" s="4" t="s">
        <v>872</v>
      </c>
      <c r="D156" s="4" t="s">
        <v>873</v>
      </c>
      <c r="E156" s="4" t="s">
        <v>874</v>
      </c>
      <c r="G156" s="4" t="s">
        <v>73</v>
      </c>
      <c r="H156" s="4">
        <v>3</v>
      </c>
      <c r="I156" s="4" t="s">
        <v>875</v>
      </c>
      <c r="K156" s="4" t="s">
        <v>112</v>
      </c>
      <c r="L156" s="4" t="s">
        <v>33</v>
      </c>
      <c r="M156" s="4" t="s">
        <v>33</v>
      </c>
      <c r="O156" s="4" t="s">
        <v>52</v>
      </c>
      <c r="Q156" s="4" t="s">
        <v>52</v>
      </c>
      <c r="Z156" s="4" t="s">
        <v>2566</v>
      </c>
      <c r="AB156" s="6">
        <v>44727</v>
      </c>
      <c r="AC156" s="6"/>
    </row>
    <row r="157" spans="1:30" x14ac:dyDescent="0.35">
      <c r="A157" s="7" t="s">
        <v>2195</v>
      </c>
      <c r="B157" s="4" t="s">
        <v>876</v>
      </c>
      <c r="L157" s="4" t="s">
        <v>92</v>
      </c>
      <c r="AA157" s="4" t="s">
        <v>154</v>
      </c>
      <c r="AB157" s="6">
        <v>44719</v>
      </c>
      <c r="AC157" s="6"/>
    </row>
    <row r="158" spans="1:30" x14ac:dyDescent="0.35">
      <c r="A158" s="7" t="s">
        <v>877</v>
      </c>
      <c r="B158" s="4" t="s">
        <v>878</v>
      </c>
      <c r="E158" s="4" t="s">
        <v>879</v>
      </c>
      <c r="G158" s="4" t="s">
        <v>73</v>
      </c>
      <c r="H158" s="4">
        <v>5</v>
      </c>
      <c r="L158" s="4" t="s">
        <v>92</v>
      </c>
      <c r="AA158" s="4" t="s">
        <v>154</v>
      </c>
      <c r="AB158" s="6">
        <v>44719</v>
      </c>
      <c r="AC158" s="6"/>
    </row>
    <row r="159" spans="1:30" x14ac:dyDescent="0.35">
      <c r="A159" s="7" t="s">
        <v>880</v>
      </c>
      <c r="B159" s="4" t="s">
        <v>881</v>
      </c>
      <c r="C159" s="4" t="s">
        <v>882</v>
      </c>
      <c r="D159" s="4" t="s">
        <v>883</v>
      </c>
      <c r="E159" s="4" t="s">
        <v>884</v>
      </c>
      <c r="G159" s="4" t="s">
        <v>73</v>
      </c>
      <c r="H159" s="4">
        <v>2.5</v>
      </c>
      <c r="K159" s="4" t="s">
        <v>378</v>
      </c>
      <c r="L159" s="4" t="s">
        <v>92</v>
      </c>
      <c r="M159" s="4" t="s">
        <v>885</v>
      </c>
      <c r="N159" s="4">
        <f>7.3/1000</f>
        <v>7.3000000000000001E-3</v>
      </c>
      <c r="W159" s="4" t="s">
        <v>657</v>
      </c>
      <c r="X159" s="4" t="s">
        <v>886</v>
      </c>
      <c r="AA159" s="4" t="s">
        <v>168</v>
      </c>
      <c r="AB159" s="6">
        <v>44719</v>
      </c>
      <c r="AC159" s="6"/>
      <c r="AD159" s="6">
        <v>44733</v>
      </c>
    </row>
    <row r="160" spans="1:30" x14ac:dyDescent="0.35">
      <c r="A160" s="7" t="s">
        <v>887</v>
      </c>
      <c r="B160" s="4" t="s">
        <v>888</v>
      </c>
      <c r="D160" s="4" t="s">
        <v>889</v>
      </c>
      <c r="G160" s="4" t="s">
        <v>89</v>
      </c>
      <c r="H160" s="4">
        <v>0.3</v>
      </c>
      <c r="I160" s="4" t="s">
        <v>890</v>
      </c>
      <c r="K160" s="4" t="s">
        <v>91</v>
      </c>
      <c r="L160" s="4" t="s">
        <v>92</v>
      </c>
      <c r="M160" s="4" t="s">
        <v>891</v>
      </c>
      <c r="N160" s="4">
        <f>0.96/1000</f>
        <v>9.5999999999999992E-4</v>
      </c>
      <c r="O160" s="4" t="s">
        <v>94</v>
      </c>
      <c r="Q160" s="4" t="s">
        <v>94</v>
      </c>
      <c r="R160" s="4" t="s">
        <v>2071</v>
      </c>
      <c r="S160" s="4" t="s">
        <v>44</v>
      </c>
      <c r="W160" s="4" t="s">
        <v>892</v>
      </c>
      <c r="Y160" s="4" t="s">
        <v>2311</v>
      </c>
      <c r="AB160" s="6">
        <v>44719</v>
      </c>
      <c r="AC160" s="6"/>
      <c r="AD160" s="6">
        <v>44733</v>
      </c>
    </row>
    <row r="161" spans="1:30" x14ac:dyDescent="0.35">
      <c r="A161" s="7" t="s">
        <v>2196</v>
      </c>
      <c r="B161" s="4" t="s">
        <v>893</v>
      </c>
      <c r="D161" s="4" t="s">
        <v>894</v>
      </c>
      <c r="E161" s="4" t="s">
        <v>895</v>
      </c>
      <c r="F161" s="4" t="s">
        <v>151</v>
      </c>
      <c r="G161" s="4" t="s">
        <v>89</v>
      </c>
      <c r="I161" s="4" t="s">
        <v>896</v>
      </c>
      <c r="J161" s="4" t="s">
        <v>8</v>
      </c>
      <c r="K161" s="4" t="s">
        <v>153</v>
      </c>
      <c r="L161" s="4" t="s">
        <v>169</v>
      </c>
      <c r="M161" s="4" t="s">
        <v>154</v>
      </c>
      <c r="N161" s="4">
        <f>1.28/1000</f>
        <v>1.2800000000000001E-3</v>
      </c>
      <c r="O161" s="4" t="s">
        <v>2415</v>
      </c>
      <c r="Q161" s="4" t="s">
        <v>52</v>
      </c>
      <c r="R161" s="4" t="s">
        <v>44</v>
      </c>
      <c r="W161" s="4" t="s">
        <v>2590</v>
      </c>
      <c r="X161" s="4" t="s">
        <v>2589</v>
      </c>
      <c r="Y161" s="4" t="s">
        <v>2441</v>
      </c>
      <c r="Z161" s="4" t="s">
        <v>2566</v>
      </c>
      <c r="AB161" s="6">
        <v>44719</v>
      </c>
      <c r="AC161" s="6">
        <v>45040</v>
      </c>
      <c r="AD161" s="6">
        <v>45040</v>
      </c>
    </row>
    <row r="162" spans="1:30" x14ac:dyDescent="0.35">
      <c r="A162" s="7" t="s">
        <v>2197</v>
      </c>
      <c r="B162" s="4" t="s">
        <v>897</v>
      </c>
      <c r="D162" s="4" t="s">
        <v>898</v>
      </c>
      <c r="E162" s="4" t="s">
        <v>895</v>
      </c>
      <c r="F162" s="4" t="s">
        <v>151</v>
      </c>
      <c r="G162" s="4" t="s">
        <v>89</v>
      </c>
      <c r="I162" s="4" t="s">
        <v>899</v>
      </c>
      <c r="J162" s="4" t="s">
        <v>8</v>
      </c>
      <c r="K162" s="4" t="s">
        <v>153</v>
      </c>
      <c r="L162" s="4" t="s">
        <v>169</v>
      </c>
      <c r="M162" s="4" t="s">
        <v>154</v>
      </c>
      <c r="N162" s="4">
        <f>1.43/1000</f>
        <v>1.4299999999999998E-3</v>
      </c>
      <c r="O162" s="4" t="s">
        <v>2415</v>
      </c>
      <c r="Q162" s="4" t="s">
        <v>44</v>
      </c>
      <c r="R162" s="4" t="s">
        <v>105</v>
      </c>
      <c r="S162" s="4" t="s">
        <v>52</v>
      </c>
      <c r="W162" s="4" t="s">
        <v>2477</v>
      </c>
      <c r="X162" s="4" t="s">
        <v>2478</v>
      </c>
      <c r="Y162" s="4" t="s">
        <v>2452</v>
      </c>
      <c r="AB162" s="6">
        <v>44719</v>
      </c>
      <c r="AC162" s="6"/>
      <c r="AD162" s="6">
        <v>45040</v>
      </c>
    </row>
    <row r="163" spans="1:30" x14ac:dyDescent="0.35">
      <c r="A163" s="7" t="s">
        <v>2198</v>
      </c>
      <c r="B163" s="4" t="s">
        <v>900</v>
      </c>
      <c r="D163" s="4" t="s">
        <v>901</v>
      </c>
      <c r="E163" s="4" t="s">
        <v>895</v>
      </c>
      <c r="F163" s="4" t="s">
        <v>151</v>
      </c>
      <c r="G163" s="4" t="s">
        <v>89</v>
      </c>
      <c r="K163" s="4" t="s">
        <v>153</v>
      </c>
      <c r="L163" s="4" t="s">
        <v>169</v>
      </c>
      <c r="M163" s="4" t="s">
        <v>841</v>
      </c>
      <c r="N163" s="4">
        <f>0.95/1000</f>
        <v>9.5E-4</v>
      </c>
      <c r="O163" s="4" t="s">
        <v>44</v>
      </c>
      <c r="Q163" s="4" t="s">
        <v>44</v>
      </c>
      <c r="R163" s="4" t="s">
        <v>52</v>
      </c>
      <c r="W163" s="4" t="s">
        <v>2472</v>
      </c>
      <c r="X163" s="4" t="s">
        <v>2473</v>
      </c>
      <c r="Y163" s="4" t="s">
        <v>2453</v>
      </c>
      <c r="AB163" s="6">
        <v>44719</v>
      </c>
      <c r="AC163" s="6"/>
      <c r="AD163" s="6">
        <v>45040</v>
      </c>
    </row>
    <row r="164" spans="1:30" x14ac:dyDescent="0.35">
      <c r="A164" s="7" t="s">
        <v>902</v>
      </c>
      <c r="B164" s="4" t="s">
        <v>903</v>
      </c>
      <c r="C164" s="4" t="s">
        <v>618</v>
      </c>
      <c r="D164" s="4" t="s">
        <v>904</v>
      </c>
      <c r="E164" s="4" t="s">
        <v>905</v>
      </c>
      <c r="G164" s="4" t="s">
        <v>89</v>
      </c>
      <c r="H164" s="4">
        <v>2.5</v>
      </c>
      <c r="I164" s="4" t="s">
        <v>906</v>
      </c>
      <c r="J164" s="4" t="s">
        <v>8</v>
      </c>
      <c r="K164" s="4" t="s">
        <v>571</v>
      </c>
      <c r="L164" s="4" t="s">
        <v>33</v>
      </c>
      <c r="M164" s="4" t="s">
        <v>33</v>
      </c>
      <c r="N164" s="4">
        <f>0.78/1000</f>
        <v>7.7999999999999999E-4</v>
      </c>
      <c r="O164" s="4" t="s">
        <v>52</v>
      </c>
      <c r="Q164" s="4" t="s">
        <v>52</v>
      </c>
      <c r="W164" s="4" t="s">
        <v>907</v>
      </c>
      <c r="X164" s="4" t="s">
        <v>908</v>
      </c>
      <c r="AB164" s="6">
        <v>44719</v>
      </c>
      <c r="AC164" s="6"/>
      <c r="AD164" s="6">
        <v>45093</v>
      </c>
    </row>
    <row r="165" spans="1:30" x14ac:dyDescent="0.35">
      <c r="A165" s="7" t="s">
        <v>909</v>
      </c>
      <c r="B165" s="4" t="s">
        <v>910</v>
      </c>
      <c r="D165" s="4" t="s">
        <v>911</v>
      </c>
      <c r="E165" s="4" t="s">
        <v>912</v>
      </c>
      <c r="G165" s="4" t="s">
        <v>89</v>
      </c>
      <c r="H165" s="4">
        <v>1</v>
      </c>
      <c r="I165" s="4" t="s">
        <v>913</v>
      </c>
      <c r="J165" s="4" t="s">
        <v>8</v>
      </c>
      <c r="K165" s="4" t="s">
        <v>133</v>
      </c>
      <c r="L165" s="4" t="s">
        <v>169</v>
      </c>
      <c r="M165" s="4" t="s">
        <v>154</v>
      </c>
      <c r="O165" s="4" t="s">
        <v>2415</v>
      </c>
      <c r="Q165" s="4" t="s">
        <v>44</v>
      </c>
      <c r="R165" s="4" t="s">
        <v>105</v>
      </c>
      <c r="W165" s="4" t="s">
        <v>2423</v>
      </c>
      <c r="X165" s="4" t="s">
        <v>914</v>
      </c>
      <c r="Y165" s="20" t="s">
        <v>2422</v>
      </c>
      <c r="AB165" s="6">
        <v>44719</v>
      </c>
      <c r="AC165" s="6">
        <v>45040</v>
      </c>
    </row>
    <row r="166" spans="1:30" x14ac:dyDescent="0.35">
      <c r="A166" s="7" t="s">
        <v>2199</v>
      </c>
      <c r="B166" s="4" t="s">
        <v>915</v>
      </c>
      <c r="D166" s="4" t="s">
        <v>916</v>
      </c>
      <c r="E166" s="4" t="s">
        <v>917</v>
      </c>
      <c r="G166" s="4" t="s">
        <v>73</v>
      </c>
      <c r="I166" s="4" t="s">
        <v>918</v>
      </c>
      <c r="K166" s="4" t="s">
        <v>91</v>
      </c>
      <c r="L166" s="4" t="s">
        <v>92</v>
      </c>
      <c r="M166" s="4" t="s">
        <v>103</v>
      </c>
      <c r="N166" s="4">
        <f>44.9/1000</f>
        <v>4.4899999999999995E-2</v>
      </c>
      <c r="O166" s="4" t="s">
        <v>104</v>
      </c>
      <c r="Q166" s="4" t="s">
        <v>104</v>
      </c>
      <c r="W166" s="4" t="s">
        <v>2312</v>
      </c>
      <c r="Y166" s="4" t="s">
        <v>136</v>
      </c>
      <c r="AB166" s="6">
        <v>44720</v>
      </c>
      <c r="AC166" s="6">
        <v>45043</v>
      </c>
      <c r="AD166" s="6">
        <v>44733</v>
      </c>
    </row>
    <row r="167" spans="1:30" x14ac:dyDescent="0.35">
      <c r="A167" s="7" t="s">
        <v>919</v>
      </c>
      <c r="B167" s="4" t="s">
        <v>920</v>
      </c>
      <c r="D167" s="4" t="s">
        <v>921</v>
      </c>
      <c r="E167" s="4" t="s">
        <v>305</v>
      </c>
      <c r="G167" s="4" t="s">
        <v>100</v>
      </c>
      <c r="I167" s="4" t="s">
        <v>922</v>
      </c>
      <c r="K167" s="4" t="s">
        <v>91</v>
      </c>
      <c r="L167" s="4" t="s">
        <v>92</v>
      </c>
      <c r="M167" s="4" t="s">
        <v>103</v>
      </c>
      <c r="N167" s="4">
        <f>20.2/1000</f>
        <v>2.0199999999999999E-2</v>
      </c>
      <c r="O167" s="4" t="s">
        <v>104</v>
      </c>
      <c r="Q167" s="4" t="s">
        <v>104</v>
      </c>
      <c r="W167" s="4" t="s">
        <v>2313</v>
      </c>
      <c r="AB167" s="6">
        <v>44720</v>
      </c>
      <c r="AC167" s="6">
        <v>45043</v>
      </c>
      <c r="AD167" s="6">
        <v>44733</v>
      </c>
    </row>
    <row r="168" spans="1:30" x14ac:dyDescent="0.35">
      <c r="A168" s="7" t="s">
        <v>2200</v>
      </c>
      <c r="B168" s="4" t="s">
        <v>923</v>
      </c>
      <c r="D168" s="4" t="s">
        <v>924</v>
      </c>
      <c r="E168" s="4" t="s">
        <v>305</v>
      </c>
      <c r="G168" s="4" t="s">
        <v>100</v>
      </c>
      <c r="I168" s="4" t="s">
        <v>925</v>
      </c>
      <c r="K168" s="4" t="s">
        <v>91</v>
      </c>
      <c r="L168" s="4" t="s">
        <v>92</v>
      </c>
      <c r="M168" s="4" t="s">
        <v>103</v>
      </c>
      <c r="N168" s="4">
        <f>31.7/1000</f>
        <v>3.1699999999999999E-2</v>
      </c>
      <c r="O168" s="4" t="s">
        <v>104</v>
      </c>
      <c r="Q168" s="4" t="s">
        <v>104</v>
      </c>
      <c r="W168" s="4" t="s">
        <v>2313</v>
      </c>
      <c r="X168" s="4" t="s">
        <v>577</v>
      </c>
      <c r="AB168" s="6">
        <v>44720</v>
      </c>
      <c r="AC168" s="6">
        <v>45043</v>
      </c>
      <c r="AD168" s="6">
        <v>44733</v>
      </c>
    </row>
    <row r="169" spans="1:30" x14ac:dyDescent="0.35">
      <c r="A169" s="7" t="s">
        <v>926</v>
      </c>
      <c r="B169" s="4" t="s">
        <v>927</v>
      </c>
      <c r="C169" s="4" t="s">
        <v>928</v>
      </c>
      <c r="D169" s="4" t="s">
        <v>929</v>
      </c>
      <c r="E169" s="4" t="s">
        <v>551</v>
      </c>
      <c r="F169" s="4" t="s">
        <v>110</v>
      </c>
      <c r="G169" s="4" t="s">
        <v>73</v>
      </c>
      <c r="K169" s="4" t="s">
        <v>847</v>
      </c>
      <c r="L169" s="4" t="s">
        <v>33</v>
      </c>
      <c r="M169" s="4" t="s">
        <v>33</v>
      </c>
      <c r="O169" s="4" t="s">
        <v>52</v>
      </c>
      <c r="Q169" s="4" t="s">
        <v>52</v>
      </c>
      <c r="Z169" s="4" t="s">
        <v>2566</v>
      </c>
      <c r="AB169" s="6">
        <v>44720</v>
      </c>
      <c r="AC169" s="6"/>
    </row>
    <row r="170" spans="1:30" x14ac:dyDescent="0.35">
      <c r="A170" s="7" t="s">
        <v>930</v>
      </c>
      <c r="B170" s="4" t="s">
        <v>931</v>
      </c>
      <c r="D170" s="4" t="s">
        <v>932</v>
      </c>
      <c r="E170" s="4" t="s">
        <v>933</v>
      </c>
      <c r="F170" s="4" t="s">
        <v>110</v>
      </c>
      <c r="G170" s="4" t="s">
        <v>73</v>
      </c>
      <c r="I170" s="4" t="s">
        <v>934</v>
      </c>
      <c r="J170" s="4" t="s">
        <v>8</v>
      </c>
      <c r="K170" s="4" t="s">
        <v>847</v>
      </c>
      <c r="L170" s="4" t="s">
        <v>33</v>
      </c>
      <c r="M170" s="4" t="s">
        <v>33</v>
      </c>
      <c r="N170" s="4">
        <f>19.72/1000</f>
        <v>1.9719999999999998E-2</v>
      </c>
      <c r="O170" s="4" t="s">
        <v>52</v>
      </c>
      <c r="Q170" s="4" t="s">
        <v>52</v>
      </c>
      <c r="W170" s="4" t="s">
        <v>2314</v>
      </c>
      <c r="X170" s="4" t="s">
        <v>935</v>
      </c>
      <c r="Y170" s="4" t="s">
        <v>936</v>
      </c>
      <c r="AB170" s="6">
        <v>44720</v>
      </c>
      <c r="AC170" s="6">
        <v>45093</v>
      </c>
      <c r="AD170" s="6">
        <v>45093</v>
      </c>
    </row>
    <row r="171" spans="1:30" x14ac:dyDescent="0.35">
      <c r="A171" s="7" t="s">
        <v>937</v>
      </c>
      <c r="B171" s="4" t="s">
        <v>938</v>
      </c>
      <c r="D171" s="4" t="s">
        <v>939</v>
      </c>
      <c r="K171" s="4" t="s">
        <v>91</v>
      </c>
      <c r="L171" s="4" t="s">
        <v>92</v>
      </c>
      <c r="AA171" s="4" t="s">
        <v>154</v>
      </c>
      <c r="AB171" s="6">
        <v>44720</v>
      </c>
      <c r="AC171" s="6"/>
    </row>
    <row r="172" spans="1:30" x14ac:dyDescent="0.35">
      <c r="A172" s="7" t="s">
        <v>2201</v>
      </c>
      <c r="B172" s="4" t="s">
        <v>940</v>
      </c>
      <c r="D172" s="4" t="s">
        <v>939</v>
      </c>
      <c r="E172" s="4" t="s">
        <v>941</v>
      </c>
      <c r="G172" s="4" t="s">
        <v>89</v>
      </c>
      <c r="H172" s="4">
        <v>2</v>
      </c>
      <c r="I172" s="4" t="s">
        <v>942</v>
      </c>
      <c r="J172" s="4" t="s">
        <v>8</v>
      </c>
      <c r="K172" s="4" t="s">
        <v>459</v>
      </c>
      <c r="L172" s="4" t="s">
        <v>33</v>
      </c>
      <c r="M172" s="4" t="s">
        <v>33</v>
      </c>
      <c r="O172" s="4" t="s">
        <v>52</v>
      </c>
      <c r="Q172" s="4" t="s">
        <v>52</v>
      </c>
      <c r="W172" s="4" t="s">
        <v>2304</v>
      </c>
      <c r="X172" s="4" t="s">
        <v>943</v>
      </c>
      <c r="AB172" s="6">
        <v>44720</v>
      </c>
      <c r="AC172" s="6">
        <v>45096</v>
      </c>
    </row>
    <row r="173" spans="1:30" x14ac:dyDescent="0.35">
      <c r="A173" s="7" t="s">
        <v>944</v>
      </c>
      <c r="B173" s="4" t="s">
        <v>945</v>
      </c>
      <c r="D173" s="4" t="s">
        <v>946</v>
      </c>
      <c r="E173" s="4" t="s">
        <v>947</v>
      </c>
      <c r="G173" s="4" t="s">
        <v>89</v>
      </c>
      <c r="I173" s="4" t="s">
        <v>948</v>
      </c>
      <c r="K173" s="4" t="s">
        <v>133</v>
      </c>
      <c r="L173" s="4" t="s">
        <v>92</v>
      </c>
      <c r="M173" s="4" t="s">
        <v>134</v>
      </c>
      <c r="O173" s="4" t="s">
        <v>104</v>
      </c>
      <c r="Q173" s="4" t="s">
        <v>104</v>
      </c>
      <c r="Y173" s="4" t="s">
        <v>949</v>
      </c>
      <c r="Z173" s="4" t="s">
        <v>2566</v>
      </c>
      <c r="AB173" s="6">
        <v>44720</v>
      </c>
      <c r="AC173" s="6">
        <v>45043</v>
      </c>
      <c r="AD173" s="6">
        <v>45043</v>
      </c>
    </row>
    <row r="174" spans="1:30" x14ac:dyDescent="0.35">
      <c r="A174" s="7" t="s">
        <v>2202</v>
      </c>
      <c r="B174" s="4" t="s">
        <v>2097</v>
      </c>
      <c r="C174" s="4" t="s">
        <v>2122</v>
      </c>
      <c r="D174" s="4" t="s">
        <v>2121</v>
      </c>
      <c r="E174" s="4" t="s">
        <v>2123</v>
      </c>
      <c r="G174" s="4" t="s">
        <v>89</v>
      </c>
      <c r="H174" s="4">
        <v>1</v>
      </c>
      <c r="I174" s="4" t="s">
        <v>2124</v>
      </c>
      <c r="J174" s="4" t="s">
        <v>8</v>
      </c>
      <c r="L174" s="4" t="s">
        <v>92</v>
      </c>
      <c r="M174" s="4" t="s">
        <v>154</v>
      </c>
      <c r="N174" s="4">
        <f>0.86/1000</f>
        <v>8.5999999999999998E-4</v>
      </c>
      <c r="O174" s="4" t="s">
        <v>2415</v>
      </c>
      <c r="Q174" s="4" t="s">
        <v>52</v>
      </c>
      <c r="W174" s="4" t="s">
        <v>2125</v>
      </c>
      <c r="Y174" s="4" t="s">
        <v>2126</v>
      </c>
      <c r="Z174" s="4" t="s">
        <v>2566</v>
      </c>
      <c r="AB174" s="6"/>
      <c r="AC174" s="6">
        <v>45198</v>
      </c>
      <c r="AD174" s="6">
        <v>45198</v>
      </c>
    </row>
    <row r="175" spans="1:30" x14ac:dyDescent="0.35">
      <c r="A175" s="19" t="s">
        <v>2352</v>
      </c>
      <c r="B175" s="4" t="s">
        <v>2353</v>
      </c>
      <c r="C175" s="4" t="s">
        <v>950</v>
      </c>
      <c r="D175" s="4" t="s">
        <v>951</v>
      </c>
      <c r="E175" s="4" t="s">
        <v>952</v>
      </c>
      <c r="G175" s="4" t="s">
        <v>89</v>
      </c>
      <c r="H175" s="4">
        <v>0.75</v>
      </c>
      <c r="I175" s="4" t="s">
        <v>953</v>
      </c>
      <c r="J175" s="4" t="s">
        <v>8</v>
      </c>
      <c r="K175" s="4" t="s">
        <v>133</v>
      </c>
      <c r="L175" s="4" t="s">
        <v>92</v>
      </c>
      <c r="M175" s="4" t="s">
        <v>134</v>
      </c>
      <c r="O175" s="4" t="s">
        <v>104</v>
      </c>
      <c r="Q175" s="4" t="s">
        <v>104</v>
      </c>
      <c r="R175" s="4" t="s">
        <v>44</v>
      </c>
      <c r="W175" s="4" t="s">
        <v>954</v>
      </c>
      <c r="X175" s="4" t="s">
        <v>955</v>
      </c>
      <c r="Y175" s="4" t="s">
        <v>956</v>
      </c>
      <c r="Z175" s="10"/>
      <c r="AB175" s="6">
        <v>44720</v>
      </c>
      <c r="AC175" s="6">
        <v>45043</v>
      </c>
    </row>
    <row r="176" spans="1:30" x14ac:dyDescent="0.35">
      <c r="A176" s="7" t="s">
        <v>957</v>
      </c>
      <c r="B176" s="4" t="s">
        <v>958</v>
      </c>
      <c r="D176" s="4" t="s">
        <v>959</v>
      </c>
      <c r="F176" s="4" t="s">
        <v>151</v>
      </c>
      <c r="G176" s="4" t="s">
        <v>89</v>
      </c>
      <c r="H176" s="4">
        <v>1.1000000000000001</v>
      </c>
      <c r="I176" s="4" t="s">
        <v>960</v>
      </c>
      <c r="J176" s="4" t="s">
        <v>8</v>
      </c>
      <c r="K176" s="4" t="s">
        <v>153</v>
      </c>
      <c r="L176" s="4" t="s">
        <v>92</v>
      </c>
      <c r="M176" s="4" t="s">
        <v>961</v>
      </c>
      <c r="N176" s="4">
        <f>0.3/1000</f>
        <v>2.9999999999999997E-4</v>
      </c>
      <c r="O176" s="4" t="s">
        <v>2415</v>
      </c>
      <c r="Q176" s="4" t="s">
        <v>105</v>
      </c>
      <c r="R176" s="4" t="s">
        <v>52</v>
      </c>
      <c r="S176" s="4" t="s">
        <v>44</v>
      </c>
      <c r="T176" s="4" t="s">
        <v>2071</v>
      </c>
      <c r="U176" s="4" t="s">
        <v>2088</v>
      </c>
      <c r="W176" s="4" t="s">
        <v>2632</v>
      </c>
      <c r="X176" s="4" t="s">
        <v>2471</v>
      </c>
      <c r="Y176" s="4" t="s">
        <v>2633</v>
      </c>
      <c r="AB176" s="6">
        <v>44720</v>
      </c>
      <c r="AC176" s="6">
        <v>45043</v>
      </c>
      <c r="AD176" s="6">
        <v>44733</v>
      </c>
    </row>
    <row r="177" spans="1:30" x14ac:dyDescent="0.35">
      <c r="A177" s="7" t="s">
        <v>962</v>
      </c>
      <c r="B177" s="4" t="s">
        <v>963</v>
      </c>
      <c r="D177" s="4" t="s">
        <v>964</v>
      </c>
      <c r="E177" s="4" t="s">
        <v>965</v>
      </c>
      <c r="F177" s="4" t="s">
        <v>30</v>
      </c>
      <c r="G177" s="4" t="s">
        <v>73</v>
      </c>
      <c r="H177" s="4">
        <v>5</v>
      </c>
      <c r="I177" s="4" t="s">
        <v>966</v>
      </c>
      <c r="L177" s="4" t="s">
        <v>33</v>
      </c>
      <c r="M177" s="4" t="s">
        <v>43</v>
      </c>
      <c r="N177" s="4">
        <f>21.61/1000</f>
        <v>2.1610000000000001E-2</v>
      </c>
      <c r="O177" s="4" t="s">
        <v>52</v>
      </c>
      <c r="Q177" s="4" t="s">
        <v>52</v>
      </c>
      <c r="R177" s="4" t="s">
        <v>35</v>
      </c>
      <c r="S177" s="4" t="s">
        <v>44</v>
      </c>
      <c r="W177" s="4" t="s">
        <v>2315</v>
      </c>
      <c r="X177" s="4" t="s">
        <v>967</v>
      </c>
      <c r="Y177" s="4" t="s">
        <v>968</v>
      </c>
      <c r="AB177" s="6">
        <v>44720</v>
      </c>
      <c r="AC177" s="6"/>
      <c r="AD177" s="6">
        <v>45096</v>
      </c>
    </row>
    <row r="178" spans="1:30" x14ac:dyDescent="0.35">
      <c r="A178" s="7" t="s">
        <v>2203</v>
      </c>
      <c r="B178" s="4" t="s">
        <v>2133</v>
      </c>
      <c r="D178" s="4" t="s">
        <v>2127</v>
      </c>
      <c r="F178" s="4" t="s">
        <v>110</v>
      </c>
      <c r="G178" s="4" t="s">
        <v>73</v>
      </c>
      <c r="I178" s="4" t="s">
        <v>2128</v>
      </c>
      <c r="J178" s="4" t="s">
        <v>8</v>
      </c>
      <c r="K178" s="4" t="s">
        <v>133</v>
      </c>
      <c r="L178" s="4" t="s">
        <v>92</v>
      </c>
      <c r="M178" s="4" t="s">
        <v>103</v>
      </c>
      <c r="N178" s="4">
        <f>2.62/1000</f>
        <v>2.6199999999999999E-3</v>
      </c>
      <c r="O178" s="4" t="s">
        <v>104</v>
      </c>
      <c r="Q178" s="4" t="s">
        <v>104</v>
      </c>
      <c r="W178" s="4" t="s">
        <v>2586</v>
      </c>
      <c r="Y178" s="4" t="s">
        <v>2399</v>
      </c>
      <c r="AB178" s="6">
        <v>45201</v>
      </c>
      <c r="AC178" s="6"/>
      <c r="AD178" s="6">
        <v>45201</v>
      </c>
    </row>
    <row r="179" spans="1:30" x14ac:dyDescent="0.35">
      <c r="A179" s="7" t="s">
        <v>969</v>
      </c>
      <c r="B179" s="4" t="s">
        <v>970</v>
      </c>
      <c r="D179" s="4" t="s">
        <v>971</v>
      </c>
      <c r="E179" s="4" t="s">
        <v>972</v>
      </c>
      <c r="G179" s="4" t="s">
        <v>73</v>
      </c>
      <c r="H179" s="4">
        <v>2</v>
      </c>
      <c r="I179" s="4" t="s">
        <v>973</v>
      </c>
      <c r="J179" s="4" t="s">
        <v>146</v>
      </c>
      <c r="K179" s="4" t="s">
        <v>91</v>
      </c>
      <c r="L179" s="4" t="s">
        <v>92</v>
      </c>
      <c r="M179" s="4" t="s">
        <v>154</v>
      </c>
      <c r="N179" s="4">
        <f>0.0164/1000</f>
        <v>1.6400000000000002E-5</v>
      </c>
      <c r="O179" s="4" t="s">
        <v>2415</v>
      </c>
      <c r="Q179" s="4" t="s">
        <v>292</v>
      </c>
      <c r="W179" s="4" t="s">
        <v>25</v>
      </c>
      <c r="X179" s="4" t="s">
        <v>974</v>
      </c>
      <c r="AB179" s="6">
        <v>44720</v>
      </c>
      <c r="AC179" s="6">
        <v>45043</v>
      </c>
      <c r="AD179" s="6">
        <v>44733</v>
      </c>
    </row>
    <row r="180" spans="1:30" x14ac:dyDescent="0.35">
      <c r="A180" s="7" t="s">
        <v>975</v>
      </c>
      <c r="B180" s="4" t="s">
        <v>976</v>
      </c>
      <c r="D180" s="4" t="s">
        <v>977</v>
      </c>
      <c r="E180" s="4" t="s">
        <v>978</v>
      </c>
      <c r="G180" s="4" t="s">
        <v>73</v>
      </c>
      <c r="H180" s="4">
        <v>1.5</v>
      </c>
      <c r="I180" s="4" t="s">
        <v>979</v>
      </c>
      <c r="J180" s="4" t="s">
        <v>8</v>
      </c>
      <c r="K180" s="4" t="s">
        <v>980</v>
      </c>
      <c r="L180" s="4" t="s">
        <v>33</v>
      </c>
      <c r="M180" s="4" t="s">
        <v>33</v>
      </c>
      <c r="N180" s="4">
        <f>0.07/1000</f>
        <v>7.0000000000000007E-5</v>
      </c>
      <c r="O180" s="4" t="s">
        <v>52</v>
      </c>
      <c r="Q180" s="4" t="s">
        <v>52</v>
      </c>
      <c r="W180" s="4" t="s">
        <v>604</v>
      </c>
      <c r="X180" s="4" t="s">
        <v>981</v>
      </c>
      <c r="AB180" s="6">
        <v>44720</v>
      </c>
      <c r="AC180" s="6">
        <v>45096</v>
      </c>
      <c r="AD180" s="6">
        <v>45096</v>
      </c>
    </row>
    <row r="181" spans="1:30" x14ac:dyDescent="0.35">
      <c r="A181" s="7" t="s">
        <v>982</v>
      </c>
      <c r="B181" s="4" t="s">
        <v>983</v>
      </c>
      <c r="D181" s="4" t="s">
        <v>984</v>
      </c>
      <c r="E181" s="4" t="s">
        <v>985</v>
      </c>
      <c r="G181" s="4" t="s">
        <v>89</v>
      </c>
      <c r="H181" s="4">
        <v>1</v>
      </c>
      <c r="I181" s="4" t="s">
        <v>986</v>
      </c>
      <c r="J181" s="4" t="s">
        <v>8</v>
      </c>
      <c r="K181" s="4" t="s">
        <v>91</v>
      </c>
      <c r="L181" s="4" t="s">
        <v>92</v>
      </c>
      <c r="M181" s="4" t="s">
        <v>154</v>
      </c>
      <c r="N181" s="4">
        <f>0.2/1000</f>
        <v>2.0000000000000001E-4</v>
      </c>
      <c r="O181" s="4" t="s">
        <v>2415</v>
      </c>
      <c r="Q181" s="4" t="s">
        <v>2071</v>
      </c>
      <c r="R181" s="4" t="s">
        <v>52</v>
      </c>
      <c r="S181" s="4" t="s">
        <v>105</v>
      </c>
      <c r="T181" s="4" t="s">
        <v>44</v>
      </c>
      <c r="W181" s="4" t="s">
        <v>2591</v>
      </c>
      <c r="X181" s="4" t="s">
        <v>987</v>
      </c>
      <c r="Y181" s="4" t="s">
        <v>2534</v>
      </c>
      <c r="Z181" s="4" t="s">
        <v>2566</v>
      </c>
      <c r="AB181" s="6">
        <v>44720</v>
      </c>
      <c r="AC181" s="6">
        <v>45043</v>
      </c>
      <c r="AD181" s="6">
        <v>44733</v>
      </c>
    </row>
    <row r="182" spans="1:30" x14ac:dyDescent="0.35">
      <c r="A182" s="7" t="s">
        <v>988</v>
      </c>
      <c r="B182" s="4" t="s">
        <v>989</v>
      </c>
      <c r="D182" s="4" t="s">
        <v>990</v>
      </c>
      <c r="E182" s="4" t="s">
        <v>991</v>
      </c>
      <c r="F182" s="4" t="s">
        <v>30</v>
      </c>
      <c r="G182" s="4" t="s">
        <v>100</v>
      </c>
      <c r="H182" s="4">
        <v>12</v>
      </c>
      <c r="I182" s="4" t="s">
        <v>992</v>
      </c>
      <c r="K182" s="4" t="s">
        <v>571</v>
      </c>
      <c r="L182" s="4" t="s">
        <v>33</v>
      </c>
      <c r="M182" s="4" t="s">
        <v>33</v>
      </c>
      <c r="N182" s="4">
        <f>32.27/1000</f>
        <v>3.227E-2</v>
      </c>
      <c r="O182" s="4" t="s">
        <v>52</v>
      </c>
      <c r="Q182" s="4" t="s">
        <v>52</v>
      </c>
      <c r="W182" s="4" t="s">
        <v>993</v>
      </c>
      <c r="Y182" s="4" t="s">
        <v>994</v>
      </c>
      <c r="AB182" s="6">
        <v>44720</v>
      </c>
      <c r="AC182" s="6"/>
      <c r="AD182" s="6">
        <v>45096</v>
      </c>
    </row>
    <row r="183" spans="1:30" x14ac:dyDescent="0.35">
      <c r="A183" s="7" t="s">
        <v>995</v>
      </c>
      <c r="B183" s="4" t="s">
        <v>996</v>
      </c>
      <c r="D183" s="4" t="s">
        <v>997</v>
      </c>
      <c r="E183" s="4" t="s">
        <v>998</v>
      </c>
      <c r="G183" s="4" t="s">
        <v>89</v>
      </c>
      <c r="H183" s="4">
        <v>2.5</v>
      </c>
      <c r="I183" s="4" t="s">
        <v>999</v>
      </c>
      <c r="J183" s="4" t="s">
        <v>8</v>
      </c>
      <c r="K183" s="4" t="s">
        <v>91</v>
      </c>
      <c r="L183" s="4" t="s">
        <v>92</v>
      </c>
      <c r="M183" s="4" t="s">
        <v>891</v>
      </c>
      <c r="N183" s="4">
        <f>9.83/1000</f>
        <v>9.8300000000000002E-3</v>
      </c>
      <c r="O183" s="4" t="s">
        <v>94</v>
      </c>
      <c r="Q183" s="4" t="s">
        <v>94</v>
      </c>
      <c r="R183" s="4" t="s">
        <v>44</v>
      </c>
      <c r="W183" s="4" t="s">
        <v>1000</v>
      </c>
      <c r="X183" s="4" t="s">
        <v>1001</v>
      </c>
      <c r="AB183" s="6">
        <v>44720</v>
      </c>
      <c r="AC183" s="6">
        <v>45043</v>
      </c>
      <c r="AD183" s="6">
        <v>44733</v>
      </c>
    </row>
    <row r="184" spans="1:30" x14ac:dyDescent="0.35">
      <c r="A184" s="7" t="s">
        <v>1002</v>
      </c>
      <c r="B184" s="4" t="s">
        <v>1003</v>
      </c>
      <c r="D184" s="4" t="s">
        <v>1004</v>
      </c>
      <c r="E184" s="4" t="s">
        <v>2076</v>
      </c>
      <c r="G184" s="4" t="s">
        <v>73</v>
      </c>
      <c r="H184" s="4">
        <v>2</v>
      </c>
      <c r="K184" s="4" t="s">
        <v>91</v>
      </c>
      <c r="L184" s="4" t="s">
        <v>92</v>
      </c>
      <c r="M184" s="4" t="s">
        <v>93</v>
      </c>
      <c r="W184" s="4" t="s">
        <v>1005</v>
      </c>
      <c r="X184" s="4" t="s">
        <v>1006</v>
      </c>
      <c r="AA184" s="4" t="s">
        <v>168</v>
      </c>
      <c r="AB184" s="6">
        <v>44720</v>
      </c>
      <c r="AC184" s="6"/>
    </row>
    <row r="185" spans="1:30" x14ac:dyDescent="0.35">
      <c r="A185" s="7" t="s">
        <v>1007</v>
      </c>
      <c r="B185" s="4" t="s">
        <v>1008</v>
      </c>
      <c r="D185" s="4" t="s">
        <v>1009</v>
      </c>
      <c r="K185" s="4" t="s">
        <v>153</v>
      </c>
      <c r="L185" s="4" t="s">
        <v>92</v>
      </c>
      <c r="Y185" s="4" t="s">
        <v>2077</v>
      </c>
      <c r="AA185" s="4" t="s">
        <v>154</v>
      </c>
      <c r="AB185" s="6">
        <v>44720</v>
      </c>
      <c r="AC185" s="6"/>
      <c r="AD185" s="6">
        <v>44733</v>
      </c>
    </row>
    <row r="186" spans="1:30" x14ac:dyDescent="0.35">
      <c r="A186" s="7" t="s">
        <v>2204</v>
      </c>
      <c r="B186" s="4" t="s">
        <v>1010</v>
      </c>
      <c r="D186" s="4" t="s">
        <v>1011</v>
      </c>
      <c r="E186" s="4" t="s">
        <v>2078</v>
      </c>
      <c r="K186" s="4" t="s">
        <v>91</v>
      </c>
      <c r="L186" s="4" t="s">
        <v>92</v>
      </c>
      <c r="M186" s="4" t="s">
        <v>154</v>
      </c>
      <c r="W186" s="4" t="s">
        <v>118</v>
      </c>
      <c r="X186" s="4" t="s">
        <v>397</v>
      </c>
      <c r="Y186" s="4" t="s">
        <v>1012</v>
      </c>
      <c r="AA186" s="4" t="s">
        <v>168</v>
      </c>
      <c r="AB186" s="6">
        <v>44720</v>
      </c>
      <c r="AC186" s="6"/>
    </row>
    <row r="187" spans="1:30" x14ac:dyDescent="0.35">
      <c r="A187" s="7" t="s">
        <v>1013</v>
      </c>
      <c r="B187" s="4" t="s">
        <v>1014</v>
      </c>
      <c r="D187" s="4" t="s">
        <v>1015</v>
      </c>
      <c r="E187" s="4" t="s">
        <v>1016</v>
      </c>
      <c r="G187" s="4" t="s">
        <v>89</v>
      </c>
      <c r="H187" s="4">
        <v>0.8</v>
      </c>
      <c r="I187" s="4" t="s">
        <v>1017</v>
      </c>
      <c r="K187" s="4" t="s">
        <v>1018</v>
      </c>
      <c r="L187" s="4" t="s">
        <v>33</v>
      </c>
      <c r="M187" s="4" t="s">
        <v>33</v>
      </c>
      <c r="N187" s="4">
        <f>79.41/1000</f>
        <v>7.9409999999999994E-2</v>
      </c>
      <c r="O187" s="4" t="s">
        <v>52</v>
      </c>
      <c r="Q187" s="4" t="s">
        <v>52</v>
      </c>
      <c r="R187" s="4" t="s">
        <v>44</v>
      </c>
      <c r="W187" s="4" t="s">
        <v>2316</v>
      </c>
      <c r="X187" s="4" t="s">
        <v>1019</v>
      </c>
      <c r="Y187" s="4" t="s">
        <v>1020</v>
      </c>
      <c r="AB187" s="6">
        <v>44720</v>
      </c>
      <c r="AC187" s="6">
        <v>45096</v>
      </c>
      <c r="AD187" s="6">
        <v>45096</v>
      </c>
    </row>
    <row r="188" spans="1:30" x14ac:dyDescent="0.35">
      <c r="A188" s="7" t="s">
        <v>1021</v>
      </c>
      <c r="B188" s="4" t="s">
        <v>1022</v>
      </c>
      <c r="D188" s="4" t="s">
        <v>1023</v>
      </c>
      <c r="E188" s="4" t="s">
        <v>895</v>
      </c>
      <c r="G188" s="4" t="s">
        <v>89</v>
      </c>
      <c r="H188" s="4">
        <v>1</v>
      </c>
      <c r="I188" s="4" t="s">
        <v>1024</v>
      </c>
      <c r="J188" s="4" t="s">
        <v>8</v>
      </c>
      <c r="K188" s="4" t="s">
        <v>91</v>
      </c>
      <c r="L188" s="4" t="s">
        <v>169</v>
      </c>
      <c r="M188" s="4" t="s">
        <v>1025</v>
      </c>
      <c r="N188" s="4">
        <f>42.79/1000</f>
        <v>4.2790000000000002E-2</v>
      </c>
      <c r="O188" s="4" t="s">
        <v>44</v>
      </c>
      <c r="Q188" s="4" t="s">
        <v>44</v>
      </c>
      <c r="R188" s="4" t="s">
        <v>52</v>
      </c>
      <c r="W188" s="4" t="s">
        <v>2592</v>
      </c>
      <c r="X188" s="4" t="s">
        <v>1026</v>
      </c>
      <c r="Y188" s="4" t="s">
        <v>2454</v>
      </c>
      <c r="AB188" s="6">
        <v>44720</v>
      </c>
      <c r="AC188" s="6">
        <v>45043</v>
      </c>
      <c r="AD188" s="6">
        <v>45043</v>
      </c>
    </row>
    <row r="189" spans="1:30" x14ac:dyDescent="0.35">
      <c r="A189" s="7" t="s">
        <v>1027</v>
      </c>
      <c r="B189" s="4" t="s">
        <v>1028</v>
      </c>
      <c r="C189" s="4" t="s">
        <v>1029</v>
      </c>
      <c r="D189" s="4" t="s">
        <v>1030</v>
      </c>
      <c r="E189" s="4" t="s">
        <v>1031</v>
      </c>
      <c r="G189" s="4" t="s">
        <v>89</v>
      </c>
      <c r="H189" s="4">
        <v>1.2</v>
      </c>
      <c r="I189" s="4" t="s">
        <v>1032</v>
      </c>
      <c r="J189" s="4" t="s">
        <v>8</v>
      </c>
      <c r="K189" s="4" t="s">
        <v>133</v>
      </c>
      <c r="L189" s="4" t="s">
        <v>92</v>
      </c>
      <c r="M189" s="4" t="s">
        <v>1033</v>
      </c>
      <c r="N189" s="4">
        <f>0.21/1000</f>
        <v>2.0999999999999998E-4</v>
      </c>
      <c r="O189" s="4" t="s">
        <v>104</v>
      </c>
      <c r="P189" s="4" t="s">
        <v>2415</v>
      </c>
      <c r="Q189" s="4" t="s">
        <v>104</v>
      </c>
      <c r="R189" s="4" t="s">
        <v>44</v>
      </c>
      <c r="S189" s="4" t="s">
        <v>105</v>
      </c>
      <c r="V189" s="4" t="s">
        <v>1034</v>
      </c>
      <c r="W189" s="4" t="s">
        <v>2317</v>
      </c>
      <c r="X189" s="4" t="s">
        <v>1035</v>
      </c>
      <c r="AB189" s="6">
        <v>44720</v>
      </c>
      <c r="AC189" s="6">
        <v>45043</v>
      </c>
      <c r="AD189" s="6">
        <v>44733</v>
      </c>
    </row>
    <row r="190" spans="1:30" x14ac:dyDescent="0.35">
      <c r="A190" s="7" t="s">
        <v>1036</v>
      </c>
      <c r="B190" s="4" t="s">
        <v>1037</v>
      </c>
      <c r="D190" s="4" t="s">
        <v>1038</v>
      </c>
      <c r="E190" s="4" t="s">
        <v>884</v>
      </c>
      <c r="K190" s="4" t="s">
        <v>112</v>
      </c>
      <c r="L190" s="4" t="s">
        <v>33</v>
      </c>
      <c r="M190" s="4" t="s">
        <v>33</v>
      </c>
      <c r="Y190" s="10" t="s">
        <v>1039</v>
      </c>
      <c r="Z190" s="10"/>
      <c r="AA190" s="4" t="s">
        <v>168</v>
      </c>
      <c r="AB190" s="6">
        <v>44720</v>
      </c>
      <c r="AC190" s="6"/>
    </row>
    <row r="191" spans="1:30" x14ac:dyDescent="0.35">
      <c r="A191" s="7" t="s">
        <v>2205</v>
      </c>
      <c r="B191" s="4" t="s">
        <v>1040</v>
      </c>
      <c r="D191" s="4" t="s">
        <v>1041</v>
      </c>
      <c r="G191" s="4" t="s">
        <v>100</v>
      </c>
      <c r="H191" s="4">
        <v>15</v>
      </c>
      <c r="I191" s="4" t="s">
        <v>1042</v>
      </c>
      <c r="J191" s="4" t="s">
        <v>8</v>
      </c>
      <c r="K191" s="4" t="s">
        <v>571</v>
      </c>
      <c r="L191" s="4" t="s">
        <v>92</v>
      </c>
      <c r="M191" s="4" t="s">
        <v>154</v>
      </c>
      <c r="N191" s="4">
        <f>6767/1000</f>
        <v>6.7670000000000003</v>
      </c>
      <c r="O191" s="4" t="s">
        <v>2090</v>
      </c>
      <c r="Q191" s="4" t="s">
        <v>2090</v>
      </c>
      <c r="R191" s="4" t="s">
        <v>44</v>
      </c>
      <c r="W191" s="4" t="s">
        <v>2593</v>
      </c>
      <c r="X191" s="4" t="s">
        <v>2369</v>
      </c>
      <c r="Y191" s="4" t="s">
        <v>1044</v>
      </c>
      <c r="Z191" s="4" t="s">
        <v>2091</v>
      </c>
      <c r="AB191" s="6">
        <v>44720</v>
      </c>
      <c r="AC191" s="6"/>
      <c r="AD191" s="6">
        <v>44733</v>
      </c>
    </row>
    <row r="192" spans="1:30" x14ac:dyDescent="0.35">
      <c r="A192" s="7" t="s">
        <v>1045</v>
      </c>
      <c r="B192" s="4" t="s">
        <v>1046</v>
      </c>
      <c r="D192" s="4" t="s">
        <v>1047</v>
      </c>
      <c r="F192" s="4" t="s">
        <v>1048</v>
      </c>
      <c r="G192" s="4" t="s">
        <v>89</v>
      </c>
      <c r="H192" s="4">
        <v>1</v>
      </c>
      <c r="I192" s="4" t="s">
        <v>1049</v>
      </c>
      <c r="K192" s="4" t="s">
        <v>91</v>
      </c>
      <c r="L192" s="4" t="s">
        <v>92</v>
      </c>
      <c r="M192" s="4" t="s">
        <v>1050</v>
      </c>
      <c r="N192" s="4">
        <f>0.1/1000</f>
        <v>1E-4</v>
      </c>
      <c r="O192" s="4" t="s">
        <v>105</v>
      </c>
      <c r="Q192" s="4" t="s">
        <v>105</v>
      </c>
      <c r="R192" s="4" t="s">
        <v>44</v>
      </c>
      <c r="W192" s="4" t="s">
        <v>1061</v>
      </c>
      <c r="X192" s="4" t="s">
        <v>1056</v>
      </c>
      <c r="Y192" s="4" t="s">
        <v>1051</v>
      </c>
      <c r="AB192" s="6">
        <v>44720</v>
      </c>
      <c r="AC192" s="6">
        <v>45043</v>
      </c>
      <c r="AD192" s="6">
        <v>44733</v>
      </c>
    </row>
    <row r="193" spans="1:30" x14ac:dyDescent="0.35">
      <c r="A193" s="7" t="s">
        <v>1052</v>
      </c>
      <c r="B193" s="4" t="s">
        <v>1053</v>
      </c>
      <c r="D193" s="4" t="s">
        <v>1054</v>
      </c>
      <c r="F193" s="4" t="s">
        <v>1048</v>
      </c>
      <c r="G193" s="4" t="s">
        <v>89</v>
      </c>
      <c r="H193" s="4">
        <v>0.6</v>
      </c>
      <c r="I193" s="4" t="s">
        <v>1055</v>
      </c>
      <c r="J193" s="4" t="s">
        <v>8</v>
      </c>
      <c r="K193" s="4" t="s">
        <v>91</v>
      </c>
      <c r="L193" s="4" t="s">
        <v>92</v>
      </c>
      <c r="M193" s="4" t="s">
        <v>1050</v>
      </c>
      <c r="N193" s="4">
        <f>0.02/1000</f>
        <v>2.0000000000000002E-5</v>
      </c>
      <c r="O193" s="4" t="s">
        <v>105</v>
      </c>
      <c r="Q193" s="4" t="s">
        <v>105</v>
      </c>
      <c r="R193" s="4" t="s">
        <v>44</v>
      </c>
      <c r="S193" s="4" t="s">
        <v>52</v>
      </c>
      <c r="T193" s="4" t="s">
        <v>2071</v>
      </c>
      <c r="W193" s="4" t="s">
        <v>2594</v>
      </c>
      <c r="X193" s="4" t="s">
        <v>1056</v>
      </c>
      <c r="Y193" s="4" t="s">
        <v>2455</v>
      </c>
      <c r="AB193" s="6">
        <v>44720</v>
      </c>
      <c r="AC193" s="6">
        <v>45043</v>
      </c>
      <c r="AD193" s="6">
        <v>44733</v>
      </c>
    </row>
    <row r="194" spans="1:30" x14ac:dyDescent="0.35">
      <c r="A194" s="7" t="s">
        <v>1057</v>
      </c>
      <c r="B194" s="4" t="s">
        <v>1058</v>
      </c>
      <c r="D194" s="4" t="s">
        <v>1059</v>
      </c>
      <c r="F194" s="4" t="s">
        <v>1048</v>
      </c>
      <c r="G194" s="4" t="s">
        <v>89</v>
      </c>
      <c r="H194" s="4">
        <v>0.15</v>
      </c>
      <c r="I194" s="4" t="s">
        <v>1060</v>
      </c>
      <c r="K194" s="4" t="s">
        <v>91</v>
      </c>
      <c r="L194" s="4" t="s">
        <v>92</v>
      </c>
      <c r="M194" s="4" t="s">
        <v>1050</v>
      </c>
      <c r="N194" s="4">
        <f>0.2405/1000</f>
        <v>2.4049999999999999E-4</v>
      </c>
      <c r="O194" s="4" t="s">
        <v>105</v>
      </c>
      <c r="Q194" s="4" t="s">
        <v>105</v>
      </c>
      <c r="R194" s="4" t="s">
        <v>44</v>
      </c>
      <c r="W194" s="4" t="s">
        <v>1061</v>
      </c>
      <c r="X194" s="4" t="s">
        <v>1056</v>
      </c>
      <c r="Y194" s="4" t="s">
        <v>1051</v>
      </c>
      <c r="AB194" s="6">
        <v>44720</v>
      </c>
      <c r="AC194" s="6">
        <v>45043</v>
      </c>
      <c r="AD194" s="6">
        <v>44733</v>
      </c>
    </row>
    <row r="195" spans="1:30" x14ac:dyDescent="0.35">
      <c r="A195" s="7" t="s">
        <v>1062</v>
      </c>
      <c r="B195" s="4" t="s">
        <v>1063</v>
      </c>
      <c r="D195" s="4" t="s">
        <v>1064</v>
      </c>
      <c r="F195" s="4" t="s">
        <v>1048</v>
      </c>
      <c r="G195" s="4" t="s">
        <v>89</v>
      </c>
      <c r="H195" s="4">
        <v>0.35</v>
      </c>
      <c r="I195" s="4" t="s">
        <v>1065</v>
      </c>
      <c r="K195" s="4" t="s">
        <v>91</v>
      </c>
      <c r="L195" s="4" t="s">
        <v>92</v>
      </c>
      <c r="M195" s="4" t="s">
        <v>1050</v>
      </c>
      <c r="N195" s="4">
        <f>0.1/1000</f>
        <v>1E-4</v>
      </c>
      <c r="O195" s="4" t="s">
        <v>105</v>
      </c>
      <c r="Q195" s="4" t="s">
        <v>105</v>
      </c>
      <c r="R195" s="4" t="s">
        <v>44</v>
      </c>
      <c r="S195" s="4" t="s">
        <v>52</v>
      </c>
      <c r="W195" s="4" t="s">
        <v>2429</v>
      </c>
      <c r="X195" s="4" t="s">
        <v>1066</v>
      </c>
      <c r="Y195" s="4" t="s">
        <v>2428</v>
      </c>
      <c r="AB195" s="6">
        <v>44720</v>
      </c>
      <c r="AC195" s="6">
        <v>45043</v>
      </c>
      <c r="AD195" s="6">
        <v>44733</v>
      </c>
    </row>
    <row r="196" spans="1:30" s="3" customFormat="1" x14ac:dyDescent="0.35">
      <c r="A196" s="7" t="s">
        <v>2206</v>
      </c>
      <c r="B196" s="4" t="s">
        <v>2108</v>
      </c>
      <c r="C196" s="4" t="s">
        <v>362</v>
      </c>
      <c r="D196" s="4" t="s">
        <v>363</v>
      </c>
      <c r="E196" s="4" t="s">
        <v>364</v>
      </c>
      <c r="F196" s="4"/>
      <c r="G196" s="4"/>
      <c r="H196" s="4"/>
      <c r="I196" s="4"/>
      <c r="J196" s="4"/>
      <c r="K196" s="4" t="s">
        <v>235</v>
      </c>
      <c r="L196" s="4" t="s">
        <v>92</v>
      </c>
      <c r="M196" s="4"/>
      <c r="N196" s="4"/>
      <c r="O196" s="4"/>
      <c r="P196" s="4"/>
      <c r="Q196" s="4"/>
      <c r="R196" s="4"/>
      <c r="S196" s="4"/>
      <c r="T196" s="4"/>
      <c r="U196" s="4"/>
      <c r="V196" s="4"/>
      <c r="W196" s="4"/>
      <c r="X196" s="4"/>
      <c r="Y196" s="4"/>
      <c r="Z196" s="4"/>
      <c r="AA196" s="4" t="s">
        <v>154</v>
      </c>
      <c r="AB196" s="4"/>
      <c r="AC196" s="4"/>
      <c r="AD196" s="4"/>
    </row>
    <row r="197" spans="1:30" x14ac:dyDescent="0.35">
      <c r="A197" s="7" t="s">
        <v>1067</v>
      </c>
      <c r="B197" s="4" t="s">
        <v>1068</v>
      </c>
      <c r="D197" s="4" t="s">
        <v>1069</v>
      </c>
      <c r="E197" s="4" t="s">
        <v>1070</v>
      </c>
      <c r="F197" s="4" t="s">
        <v>110</v>
      </c>
      <c r="G197" s="4" t="s">
        <v>73</v>
      </c>
      <c r="I197" s="4" t="s">
        <v>1071</v>
      </c>
      <c r="K197" s="4" t="s">
        <v>378</v>
      </c>
      <c r="L197" s="4" t="s">
        <v>33</v>
      </c>
      <c r="M197" s="4" t="s">
        <v>1072</v>
      </c>
      <c r="N197" s="4">
        <f>25.41/1000</f>
        <v>2.5409999999999999E-2</v>
      </c>
      <c r="O197" s="4" t="s">
        <v>94</v>
      </c>
      <c r="P197" s="4" t="s">
        <v>35</v>
      </c>
      <c r="Q197" s="4" t="s">
        <v>94</v>
      </c>
      <c r="R197" s="4" t="s">
        <v>35</v>
      </c>
      <c r="W197" s="4" t="s">
        <v>75</v>
      </c>
      <c r="Y197" s="4" t="s">
        <v>2642</v>
      </c>
      <c r="AB197" s="6">
        <v>44720</v>
      </c>
      <c r="AC197" s="6">
        <v>45096</v>
      </c>
      <c r="AD197" s="6">
        <v>45096</v>
      </c>
    </row>
    <row r="198" spans="1:30" x14ac:dyDescent="0.35">
      <c r="A198" s="7" t="s">
        <v>1073</v>
      </c>
      <c r="B198" s="4" t="s">
        <v>1074</v>
      </c>
      <c r="E198" s="4" t="s">
        <v>1075</v>
      </c>
      <c r="K198" s="4" t="s">
        <v>91</v>
      </c>
      <c r="L198" s="4" t="s">
        <v>169</v>
      </c>
      <c r="AA198" s="4" t="s">
        <v>154</v>
      </c>
      <c r="AB198" s="6">
        <v>44720</v>
      </c>
      <c r="AC198" s="6"/>
    </row>
    <row r="199" spans="1:30" x14ac:dyDescent="0.35">
      <c r="A199" s="7" t="s">
        <v>2207</v>
      </c>
      <c r="B199" s="4" t="s">
        <v>1076</v>
      </c>
      <c r="D199" s="4" t="s">
        <v>1077</v>
      </c>
      <c r="E199" s="4" t="s">
        <v>1078</v>
      </c>
      <c r="G199" s="4" t="s">
        <v>100</v>
      </c>
      <c r="K199" s="4" t="s">
        <v>378</v>
      </c>
      <c r="L199" s="4" t="s">
        <v>92</v>
      </c>
      <c r="M199" s="4" t="s">
        <v>1079</v>
      </c>
      <c r="N199" s="4">
        <f>48.2/1000</f>
        <v>4.82E-2</v>
      </c>
      <c r="O199" s="4" t="s">
        <v>44</v>
      </c>
      <c r="Q199" s="4" t="s">
        <v>44</v>
      </c>
      <c r="W199" s="4" t="s">
        <v>25</v>
      </c>
      <c r="X199" s="4" t="s">
        <v>2595</v>
      </c>
      <c r="AB199" s="6">
        <v>44720</v>
      </c>
      <c r="AC199" s="6">
        <v>45048</v>
      </c>
      <c r="AD199" s="6">
        <v>44733</v>
      </c>
    </row>
    <row r="200" spans="1:30" x14ac:dyDescent="0.35">
      <c r="A200" s="7" t="s">
        <v>1080</v>
      </c>
      <c r="B200" s="4" t="s">
        <v>1081</v>
      </c>
      <c r="C200" s="4" t="s">
        <v>1082</v>
      </c>
      <c r="D200" s="4" t="s">
        <v>1083</v>
      </c>
      <c r="K200" s="4" t="s">
        <v>722</v>
      </c>
      <c r="L200" s="4" t="s">
        <v>92</v>
      </c>
      <c r="AA200" s="4" t="s">
        <v>154</v>
      </c>
      <c r="AB200" s="6">
        <v>44720</v>
      </c>
      <c r="AC200" s="6"/>
    </row>
    <row r="201" spans="1:30" x14ac:dyDescent="0.35">
      <c r="A201" s="7" t="s">
        <v>1084</v>
      </c>
      <c r="B201" s="4" t="s">
        <v>1085</v>
      </c>
      <c r="D201" s="4" t="s">
        <v>1086</v>
      </c>
      <c r="E201" s="4" t="s">
        <v>1087</v>
      </c>
      <c r="G201" s="4" t="s">
        <v>73</v>
      </c>
      <c r="H201" s="4">
        <v>2</v>
      </c>
      <c r="I201" s="4" t="s">
        <v>1088</v>
      </c>
      <c r="K201" s="4" t="s">
        <v>571</v>
      </c>
      <c r="L201" s="4" t="s">
        <v>33</v>
      </c>
      <c r="M201" s="4" t="s">
        <v>33</v>
      </c>
      <c r="N201" s="4">
        <f>11.14/1000</f>
        <v>1.1140000000000001E-2</v>
      </c>
      <c r="O201" s="4" t="s">
        <v>52</v>
      </c>
      <c r="Q201" s="4" t="s">
        <v>52</v>
      </c>
      <c r="W201" s="4" t="s">
        <v>2511</v>
      </c>
      <c r="X201" s="4" t="s">
        <v>2318</v>
      </c>
      <c r="Y201" s="4" t="s">
        <v>2512</v>
      </c>
      <c r="AB201" s="6">
        <v>44720</v>
      </c>
      <c r="AC201" s="6"/>
      <c r="AD201" s="6">
        <v>45096</v>
      </c>
    </row>
    <row r="202" spans="1:30" x14ac:dyDescent="0.35">
      <c r="A202" s="7" t="s">
        <v>1089</v>
      </c>
      <c r="B202" s="4" t="s">
        <v>1090</v>
      </c>
      <c r="D202" s="4" t="s">
        <v>1091</v>
      </c>
      <c r="E202" s="4" t="s">
        <v>1092</v>
      </c>
      <c r="G202" s="4" t="s">
        <v>100</v>
      </c>
      <c r="I202" s="4" t="s">
        <v>1093</v>
      </c>
      <c r="K202" s="4" t="s">
        <v>307</v>
      </c>
      <c r="L202" s="4" t="s">
        <v>92</v>
      </c>
      <c r="M202" s="4" t="s">
        <v>103</v>
      </c>
      <c r="N202" s="4">
        <f>6.4/1000</f>
        <v>6.4000000000000003E-3</v>
      </c>
      <c r="O202" s="4" t="s">
        <v>104</v>
      </c>
      <c r="Q202" s="4" t="s">
        <v>104</v>
      </c>
      <c r="W202" s="4" t="s">
        <v>2597</v>
      </c>
      <c r="Y202" s="4" t="s">
        <v>2596</v>
      </c>
      <c r="AB202" s="6">
        <v>44720</v>
      </c>
      <c r="AC202" s="6">
        <v>45048</v>
      </c>
      <c r="AD202" s="6">
        <v>44733</v>
      </c>
    </row>
    <row r="203" spans="1:30" x14ac:dyDescent="0.35">
      <c r="A203" s="7" t="s">
        <v>1095</v>
      </c>
      <c r="B203" s="4" t="s">
        <v>1096</v>
      </c>
      <c r="D203" s="4" t="s">
        <v>1097</v>
      </c>
      <c r="E203" s="4" t="s">
        <v>1098</v>
      </c>
      <c r="G203" s="4" t="s">
        <v>89</v>
      </c>
      <c r="K203" s="4" t="s">
        <v>378</v>
      </c>
      <c r="L203" s="4" t="s">
        <v>92</v>
      </c>
      <c r="M203" s="4" t="s">
        <v>154</v>
      </c>
      <c r="N203" s="4">
        <f>40.3/1000</f>
        <v>4.0299999999999996E-2</v>
      </c>
      <c r="O203" s="4" t="s">
        <v>2415</v>
      </c>
      <c r="Q203" s="4" t="s">
        <v>292</v>
      </c>
      <c r="Y203" s="4" t="s">
        <v>1099</v>
      </c>
      <c r="Z203" s="4" t="s">
        <v>2566</v>
      </c>
      <c r="AB203" s="6">
        <v>44720</v>
      </c>
      <c r="AC203" s="6">
        <v>45048</v>
      </c>
      <c r="AD203" s="6">
        <v>44733</v>
      </c>
    </row>
    <row r="204" spans="1:30" x14ac:dyDescent="0.35">
      <c r="A204" s="7" t="s">
        <v>1100</v>
      </c>
      <c r="B204" s="4" t="s">
        <v>1101</v>
      </c>
      <c r="D204" s="4" t="s">
        <v>1102</v>
      </c>
      <c r="E204" s="4" t="s">
        <v>1098</v>
      </c>
      <c r="G204" s="4" t="s">
        <v>89</v>
      </c>
      <c r="K204" s="4" t="s">
        <v>378</v>
      </c>
      <c r="L204" s="4" t="s">
        <v>92</v>
      </c>
      <c r="M204" s="4" t="s">
        <v>154</v>
      </c>
      <c r="N204" s="4">
        <f>93.5/1000</f>
        <v>9.35E-2</v>
      </c>
      <c r="O204" s="4" t="s">
        <v>2415</v>
      </c>
      <c r="Q204" s="4" t="s">
        <v>292</v>
      </c>
      <c r="Y204" s="4" t="s">
        <v>1099</v>
      </c>
      <c r="Z204" s="4" t="s">
        <v>2566</v>
      </c>
      <c r="AB204" s="6">
        <v>44720</v>
      </c>
      <c r="AC204" s="6">
        <v>45048</v>
      </c>
      <c r="AD204" s="6">
        <v>44733</v>
      </c>
    </row>
    <row r="205" spans="1:30" x14ac:dyDescent="0.35">
      <c r="A205" s="7" t="s">
        <v>1103</v>
      </c>
      <c r="B205" s="4" t="s">
        <v>1104</v>
      </c>
      <c r="D205" s="4" t="s">
        <v>1105</v>
      </c>
      <c r="E205" s="4" t="s">
        <v>1106</v>
      </c>
      <c r="F205" s="4" t="s">
        <v>30</v>
      </c>
      <c r="G205" s="4" t="s">
        <v>73</v>
      </c>
      <c r="H205" s="4">
        <v>7</v>
      </c>
      <c r="I205" s="4" t="s">
        <v>1107</v>
      </c>
      <c r="K205" s="4" t="s">
        <v>112</v>
      </c>
      <c r="L205" s="4" t="s">
        <v>33</v>
      </c>
      <c r="M205" s="4" t="s">
        <v>33</v>
      </c>
      <c r="N205" s="4">
        <f>516.27/1000</f>
        <v>0.51627000000000001</v>
      </c>
      <c r="O205" s="4" t="s">
        <v>52</v>
      </c>
      <c r="Q205" s="4" t="s">
        <v>52</v>
      </c>
      <c r="W205" s="4" t="s">
        <v>25</v>
      </c>
      <c r="X205" s="4" t="s">
        <v>1108</v>
      </c>
      <c r="AB205" s="6">
        <v>44720</v>
      </c>
      <c r="AC205" s="6">
        <v>45096</v>
      </c>
      <c r="AD205" s="6">
        <v>45096</v>
      </c>
    </row>
    <row r="206" spans="1:30" x14ac:dyDescent="0.35">
      <c r="A206" s="7" t="s">
        <v>2208</v>
      </c>
      <c r="B206" s="4" t="s">
        <v>1109</v>
      </c>
      <c r="D206" s="4" t="s">
        <v>1110</v>
      </c>
      <c r="E206" s="4" t="s">
        <v>1111</v>
      </c>
      <c r="G206" s="4" t="s">
        <v>73</v>
      </c>
      <c r="H206" s="4">
        <v>2</v>
      </c>
      <c r="K206" s="4" t="s">
        <v>91</v>
      </c>
      <c r="L206" s="4" t="s">
        <v>92</v>
      </c>
      <c r="M206" s="4" t="s">
        <v>103</v>
      </c>
      <c r="N206" s="4">
        <f>1.12/1000</f>
        <v>1.1200000000000001E-3</v>
      </c>
      <c r="O206" s="4" t="s">
        <v>104</v>
      </c>
      <c r="Q206" s="4" t="s">
        <v>104</v>
      </c>
      <c r="W206" s="4" t="s">
        <v>1112</v>
      </c>
      <c r="Y206" s="4" t="s">
        <v>1113</v>
      </c>
      <c r="AB206" s="6">
        <v>44727</v>
      </c>
      <c r="AC206" s="6"/>
      <c r="AD206" s="6">
        <v>44733</v>
      </c>
    </row>
    <row r="207" spans="1:30" x14ac:dyDescent="0.35">
      <c r="A207" s="7" t="s">
        <v>1114</v>
      </c>
      <c r="B207" s="4" t="s">
        <v>1115</v>
      </c>
      <c r="D207" s="4" t="s">
        <v>1116</v>
      </c>
      <c r="E207" s="4" t="s">
        <v>1117</v>
      </c>
      <c r="G207" s="4" t="s">
        <v>89</v>
      </c>
      <c r="H207" s="4">
        <v>1</v>
      </c>
      <c r="K207" s="4" t="s">
        <v>133</v>
      </c>
      <c r="L207" s="4" t="s">
        <v>92</v>
      </c>
      <c r="M207" s="4" t="s">
        <v>154</v>
      </c>
      <c r="N207" s="4">
        <f>0.42/1000</f>
        <v>4.1999999999999996E-4</v>
      </c>
      <c r="O207" s="4" t="s">
        <v>2415</v>
      </c>
      <c r="Q207" s="4" t="s">
        <v>52</v>
      </c>
      <c r="R207" s="4" t="s">
        <v>105</v>
      </c>
      <c r="V207" s="4" t="s">
        <v>1118</v>
      </c>
      <c r="W207" s="4" t="s">
        <v>2598</v>
      </c>
      <c r="Y207" s="4" t="s">
        <v>2412</v>
      </c>
      <c r="AB207" s="6">
        <v>44727</v>
      </c>
      <c r="AC207" s="6"/>
      <c r="AD207" s="6">
        <v>44733</v>
      </c>
    </row>
    <row r="208" spans="1:30" x14ac:dyDescent="0.35">
      <c r="A208" s="7" t="s">
        <v>1119</v>
      </c>
      <c r="B208" s="4" t="s">
        <v>1120</v>
      </c>
      <c r="D208" s="4" t="s">
        <v>1121</v>
      </c>
      <c r="E208" s="4" t="s">
        <v>1122</v>
      </c>
      <c r="G208" s="4" t="s">
        <v>73</v>
      </c>
      <c r="H208" s="4">
        <v>2</v>
      </c>
      <c r="I208" s="4" t="s">
        <v>1123</v>
      </c>
      <c r="J208" s="4" t="s">
        <v>8</v>
      </c>
      <c r="K208" s="4" t="s">
        <v>112</v>
      </c>
      <c r="L208" s="4" t="s">
        <v>33</v>
      </c>
      <c r="M208" s="4" t="s">
        <v>33</v>
      </c>
      <c r="N208" s="4">
        <f>0.3/1000</f>
        <v>2.9999999999999997E-4</v>
      </c>
      <c r="O208" s="4" t="s">
        <v>52</v>
      </c>
      <c r="Q208" s="4" t="s">
        <v>52</v>
      </c>
      <c r="W208" s="4" t="s">
        <v>1124</v>
      </c>
      <c r="X208" s="4" t="s">
        <v>1125</v>
      </c>
      <c r="AB208" s="6">
        <v>44720</v>
      </c>
      <c r="AC208" s="6">
        <v>45096</v>
      </c>
      <c r="AD208" s="6">
        <v>45096</v>
      </c>
    </row>
    <row r="209" spans="1:30" x14ac:dyDescent="0.35">
      <c r="A209" s="7" t="s">
        <v>1126</v>
      </c>
      <c r="B209" s="4" t="s">
        <v>1127</v>
      </c>
      <c r="C209" s="4" t="s">
        <v>1128</v>
      </c>
      <c r="D209" s="4" t="s">
        <v>1129</v>
      </c>
      <c r="E209" s="4" t="s">
        <v>1130</v>
      </c>
      <c r="F209" s="4" t="s">
        <v>151</v>
      </c>
      <c r="G209" s="4" t="s">
        <v>89</v>
      </c>
      <c r="H209" s="4">
        <v>1.6</v>
      </c>
      <c r="I209" s="4" t="s">
        <v>1131</v>
      </c>
      <c r="K209" s="4" t="s">
        <v>153</v>
      </c>
      <c r="L209" s="4" t="s">
        <v>92</v>
      </c>
      <c r="M209" s="4" t="s">
        <v>154</v>
      </c>
      <c r="N209" s="4">
        <f>10.5884/1000</f>
        <v>1.05884E-2</v>
      </c>
      <c r="O209" s="4" t="s">
        <v>2415</v>
      </c>
      <c r="Q209" s="4" t="s">
        <v>292</v>
      </c>
      <c r="Y209" s="4" t="s">
        <v>1132</v>
      </c>
      <c r="Z209" s="4" t="s">
        <v>2566</v>
      </c>
      <c r="AB209" s="6">
        <v>44720</v>
      </c>
      <c r="AC209" s="6">
        <v>45048</v>
      </c>
      <c r="AD209" s="6">
        <v>44733</v>
      </c>
    </row>
    <row r="210" spans="1:30" x14ac:dyDescent="0.35">
      <c r="A210" s="7" t="s">
        <v>1133</v>
      </c>
      <c r="B210" s="4" t="s">
        <v>1134</v>
      </c>
      <c r="D210" s="4" t="s">
        <v>1135</v>
      </c>
      <c r="E210" s="4" t="s">
        <v>1136</v>
      </c>
      <c r="F210" s="4" t="s">
        <v>30</v>
      </c>
      <c r="G210" s="4" t="s">
        <v>73</v>
      </c>
      <c r="H210" s="4">
        <v>10</v>
      </c>
      <c r="I210" s="4" t="s">
        <v>1137</v>
      </c>
      <c r="K210" s="4" t="s">
        <v>571</v>
      </c>
      <c r="L210" s="4" t="s">
        <v>33</v>
      </c>
      <c r="M210" s="4" t="s">
        <v>33</v>
      </c>
      <c r="N210" s="4">
        <f>31/1000</f>
        <v>3.1E-2</v>
      </c>
      <c r="O210" s="4" t="s">
        <v>52</v>
      </c>
      <c r="Q210" s="4" t="s">
        <v>52</v>
      </c>
      <c r="W210" s="4" t="s">
        <v>2502</v>
      </c>
      <c r="X210" s="4" t="s">
        <v>1138</v>
      </c>
      <c r="Y210" s="10" t="s">
        <v>2503</v>
      </c>
      <c r="Z210" s="10"/>
      <c r="AB210" s="6">
        <v>44720</v>
      </c>
      <c r="AC210" s="6">
        <v>45096</v>
      </c>
      <c r="AD210" s="6">
        <v>45096</v>
      </c>
    </row>
    <row r="211" spans="1:30" x14ac:dyDescent="0.35">
      <c r="A211" s="7" t="s">
        <v>1140</v>
      </c>
      <c r="B211" s="4" t="s">
        <v>1141</v>
      </c>
      <c r="D211" s="4" t="s">
        <v>1142</v>
      </c>
      <c r="E211" s="4" t="s">
        <v>506</v>
      </c>
      <c r="K211" s="4" t="s">
        <v>571</v>
      </c>
      <c r="L211" s="4" t="s">
        <v>33</v>
      </c>
      <c r="M211" s="4" t="s">
        <v>33</v>
      </c>
      <c r="W211" s="4" t="s">
        <v>118</v>
      </c>
      <c r="Y211" s="10" t="s">
        <v>1139</v>
      </c>
      <c r="Z211" s="10"/>
      <c r="AA211" s="4" t="s">
        <v>168</v>
      </c>
      <c r="AB211" s="6">
        <v>44720</v>
      </c>
      <c r="AC211" s="6"/>
    </row>
    <row r="212" spans="1:30" x14ac:dyDescent="0.35">
      <c r="A212" s="7" t="s">
        <v>1143</v>
      </c>
      <c r="B212" s="4" t="s">
        <v>1144</v>
      </c>
      <c r="D212" s="4" t="s">
        <v>1145</v>
      </c>
      <c r="E212" s="4" t="s">
        <v>1146</v>
      </c>
      <c r="F212" s="4" t="s">
        <v>30</v>
      </c>
      <c r="G212" s="4" t="s">
        <v>73</v>
      </c>
      <c r="H212" s="4">
        <v>5</v>
      </c>
      <c r="I212" s="4" t="s">
        <v>1147</v>
      </c>
      <c r="J212" s="4" t="s">
        <v>8</v>
      </c>
      <c r="K212" s="4" t="s">
        <v>571</v>
      </c>
      <c r="L212" s="4" t="s">
        <v>33</v>
      </c>
      <c r="M212" s="4" t="s">
        <v>33</v>
      </c>
      <c r="N212" s="4">
        <f>16.53/1000</f>
        <v>1.653E-2</v>
      </c>
      <c r="O212" s="4" t="s">
        <v>52</v>
      </c>
      <c r="Q212" s="4" t="s">
        <v>52</v>
      </c>
      <c r="W212" s="4" t="s">
        <v>2319</v>
      </c>
      <c r="X212" s="4" t="s">
        <v>1148</v>
      </c>
      <c r="Y212" s="10" t="s">
        <v>1139</v>
      </c>
      <c r="Z212" s="10"/>
      <c r="AB212" s="6">
        <v>44720</v>
      </c>
      <c r="AC212" s="6">
        <v>45096</v>
      </c>
      <c r="AD212" s="6">
        <v>45096</v>
      </c>
    </row>
    <row r="213" spans="1:30" x14ac:dyDescent="0.35">
      <c r="A213" s="7" t="s">
        <v>2209</v>
      </c>
      <c r="B213" s="4" t="s">
        <v>2113</v>
      </c>
      <c r="D213" s="4" t="s">
        <v>2129</v>
      </c>
      <c r="E213" s="4" t="s">
        <v>2130</v>
      </c>
      <c r="F213" s="4" t="s">
        <v>30</v>
      </c>
      <c r="G213" s="4" t="s">
        <v>73</v>
      </c>
      <c r="H213" s="4">
        <v>5</v>
      </c>
      <c r="I213" s="4" t="s">
        <v>2131</v>
      </c>
      <c r="K213" s="4" t="s">
        <v>112</v>
      </c>
      <c r="L213" s="4" t="s">
        <v>33</v>
      </c>
      <c r="M213" s="4" t="s">
        <v>33</v>
      </c>
      <c r="N213" s="4">
        <f>15.96/1000</f>
        <v>1.5960000000000002E-2</v>
      </c>
      <c r="O213" s="4" t="s">
        <v>52</v>
      </c>
      <c r="Q213" s="4" t="s">
        <v>52</v>
      </c>
      <c r="V213" s="4" t="s">
        <v>2402</v>
      </c>
      <c r="W213" t="s">
        <v>2400</v>
      </c>
      <c r="Y213" s="4" t="s">
        <v>2401</v>
      </c>
      <c r="Z213" s="10"/>
      <c r="AB213" s="6"/>
      <c r="AC213" s="6"/>
      <c r="AD213" s="6">
        <v>45201</v>
      </c>
    </row>
    <row r="214" spans="1:30" x14ac:dyDescent="0.35">
      <c r="A214" s="7" t="s">
        <v>2210</v>
      </c>
      <c r="B214" s="4" t="s">
        <v>1149</v>
      </c>
      <c r="D214" s="4" t="s">
        <v>1150</v>
      </c>
      <c r="E214" s="4" t="s">
        <v>1151</v>
      </c>
      <c r="G214" s="4" t="s">
        <v>89</v>
      </c>
      <c r="H214" s="4">
        <v>0.75</v>
      </c>
      <c r="I214" s="4" t="s">
        <v>1152</v>
      </c>
      <c r="K214" s="4" t="s">
        <v>91</v>
      </c>
      <c r="L214" s="4" t="s">
        <v>92</v>
      </c>
      <c r="M214" s="4" t="s">
        <v>103</v>
      </c>
      <c r="N214" s="4">
        <f>1.648/1000</f>
        <v>1.6479999999999999E-3</v>
      </c>
      <c r="O214" s="4" t="s">
        <v>104</v>
      </c>
      <c r="Q214" s="4" t="s">
        <v>104</v>
      </c>
      <c r="W214" s="4" t="s">
        <v>1153</v>
      </c>
      <c r="AB214" s="6">
        <v>44720</v>
      </c>
      <c r="AC214" s="6">
        <v>45048</v>
      </c>
      <c r="AD214" s="6">
        <v>44733</v>
      </c>
    </row>
    <row r="215" spans="1:30" x14ac:dyDescent="0.35">
      <c r="A215" s="7" t="s">
        <v>2269</v>
      </c>
      <c r="B215" s="4" t="s">
        <v>2274</v>
      </c>
      <c r="C215" s="4" t="s">
        <v>2254</v>
      </c>
      <c r="D215" s="4" t="s">
        <v>1798</v>
      </c>
      <c r="E215" s="4" t="s">
        <v>1799</v>
      </c>
      <c r="F215" s="4" t="s">
        <v>151</v>
      </c>
      <c r="G215" s="4" t="s">
        <v>89</v>
      </c>
      <c r="H215" s="4">
        <v>1.5</v>
      </c>
      <c r="I215" s="4" t="s">
        <v>1800</v>
      </c>
      <c r="J215" s="4" t="s">
        <v>8</v>
      </c>
      <c r="K215" s="4" t="s">
        <v>153</v>
      </c>
      <c r="L215" s="4" t="s">
        <v>92</v>
      </c>
      <c r="M215" s="4" t="s">
        <v>154</v>
      </c>
      <c r="N215" s="4">
        <f>1.1/1000</f>
        <v>1.1000000000000001E-3</v>
      </c>
      <c r="O215" s="4" t="s">
        <v>2415</v>
      </c>
      <c r="Q215" s="4" t="s">
        <v>2088</v>
      </c>
      <c r="S215" s="5"/>
      <c r="T215" s="5"/>
      <c r="U215" s="5"/>
      <c r="W215" s="4" t="s">
        <v>2630</v>
      </c>
      <c r="X215" s="4" t="s">
        <v>1801</v>
      </c>
      <c r="Y215" s="4" t="s">
        <v>2631</v>
      </c>
      <c r="Z215" s="4" t="s">
        <v>2566</v>
      </c>
      <c r="AB215" s="6">
        <v>44728</v>
      </c>
      <c r="AC215" s="6"/>
      <c r="AD215" s="6">
        <v>45084</v>
      </c>
    </row>
    <row r="216" spans="1:30" x14ac:dyDescent="0.35">
      <c r="A216" s="7" t="s">
        <v>1154</v>
      </c>
      <c r="B216" s="4" t="s">
        <v>1155</v>
      </c>
      <c r="D216" s="4" t="s">
        <v>1156</v>
      </c>
      <c r="F216" s="4" t="s">
        <v>151</v>
      </c>
      <c r="G216" s="4" t="s">
        <v>89</v>
      </c>
      <c r="H216" s="4">
        <v>0.75</v>
      </c>
      <c r="I216" s="4" t="s">
        <v>1157</v>
      </c>
      <c r="J216" s="4" t="s">
        <v>8</v>
      </c>
      <c r="K216" s="4" t="s">
        <v>153</v>
      </c>
      <c r="L216" s="4" t="s">
        <v>92</v>
      </c>
      <c r="M216" s="4" t="s">
        <v>154</v>
      </c>
      <c r="N216" s="4">
        <f>2/1000</f>
        <v>2E-3</v>
      </c>
      <c r="O216" s="4" t="s">
        <v>2415</v>
      </c>
      <c r="Q216" s="4" t="s">
        <v>52</v>
      </c>
      <c r="R216" s="4" t="s">
        <v>105</v>
      </c>
      <c r="S216" s="4" t="s">
        <v>2071</v>
      </c>
      <c r="W216" s="4" t="s">
        <v>2479</v>
      </c>
      <c r="X216" s="4" t="s">
        <v>2480</v>
      </c>
      <c r="Y216" s="4" t="s">
        <v>2456</v>
      </c>
      <c r="AB216" s="6">
        <v>44720</v>
      </c>
      <c r="AC216" s="6">
        <v>45048</v>
      </c>
      <c r="AD216" s="6">
        <v>44733</v>
      </c>
    </row>
    <row r="217" spans="1:30" x14ac:dyDescent="0.35">
      <c r="A217" s="7" t="s">
        <v>2211</v>
      </c>
      <c r="B217" s="4" t="s">
        <v>2098</v>
      </c>
      <c r="D217" s="4" t="s">
        <v>2138</v>
      </c>
      <c r="E217" s="4" t="s">
        <v>2134</v>
      </c>
      <c r="F217" s="4" t="s">
        <v>30</v>
      </c>
      <c r="G217" s="4" t="s">
        <v>73</v>
      </c>
      <c r="H217" s="4">
        <v>4</v>
      </c>
      <c r="I217" s="4" t="s">
        <v>2137</v>
      </c>
      <c r="K217" s="4" t="s">
        <v>235</v>
      </c>
      <c r="L217" s="4" t="s">
        <v>92</v>
      </c>
      <c r="M217" s="4" t="s">
        <v>103</v>
      </c>
      <c r="N217" s="4">
        <f>7.2/1000</f>
        <v>7.1999999999999998E-3</v>
      </c>
      <c r="O217" s="4" t="s">
        <v>104</v>
      </c>
      <c r="Q217" s="4" t="s">
        <v>104</v>
      </c>
      <c r="W217" s="4" t="s">
        <v>2135</v>
      </c>
      <c r="X217" s="4" t="s">
        <v>2136</v>
      </c>
      <c r="AB217" s="6"/>
      <c r="AC217" s="6"/>
      <c r="AD217" s="6">
        <v>45201</v>
      </c>
    </row>
    <row r="218" spans="1:30" x14ac:dyDescent="0.35">
      <c r="A218" s="7" t="s">
        <v>1158</v>
      </c>
      <c r="B218" s="4" t="s">
        <v>1159</v>
      </c>
      <c r="D218" s="4" t="s">
        <v>1160</v>
      </c>
      <c r="E218" s="4" t="s">
        <v>1161</v>
      </c>
      <c r="F218" s="4" t="s">
        <v>110</v>
      </c>
      <c r="G218" s="4" t="s">
        <v>73</v>
      </c>
      <c r="I218" s="4" t="s">
        <v>1162</v>
      </c>
      <c r="K218" s="4" t="s">
        <v>112</v>
      </c>
      <c r="L218" s="4" t="s">
        <v>33</v>
      </c>
      <c r="M218" s="4" t="s">
        <v>33</v>
      </c>
      <c r="N218" s="4">
        <f>1.8/1000</f>
        <v>1.8E-3</v>
      </c>
      <c r="O218" s="4" t="s">
        <v>52</v>
      </c>
      <c r="Q218" s="4" t="s">
        <v>52</v>
      </c>
      <c r="W218" s="4" t="s">
        <v>2320</v>
      </c>
      <c r="X218" s="4" t="s">
        <v>1163</v>
      </c>
      <c r="Y218" s="4" t="s">
        <v>1164</v>
      </c>
      <c r="AB218" s="6">
        <v>44720</v>
      </c>
      <c r="AC218" s="6">
        <v>45096</v>
      </c>
      <c r="AD218" s="6">
        <v>45096</v>
      </c>
    </row>
    <row r="219" spans="1:30" x14ac:dyDescent="0.35">
      <c r="A219" s="7" t="s">
        <v>1165</v>
      </c>
      <c r="B219" s="4" t="s">
        <v>1166</v>
      </c>
      <c r="D219" s="4" t="s">
        <v>1167</v>
      </c>
      <c r="E219" s="4" t="s">
        <v>1168</v>
      </c>
      <c r="G219" s="4" t="s">
        <v>89</v>
      </c>
      <c r="I219" s="4" t="s">
        <v>1169</v>
      </c>
      <c r="K219" s="4" t="s">
        <v>91</v>
      </c>
      <c r="L219" s="4" t="s">
        <v>92</v>
      </c>
      <c r="M219" s="4" t="s">
        <v>103</v>
      </c>
      <c r="N219" s="4">
        <f>0.2665/1000</f>
        <v>2.6650000000000003E-4</v>
      </c>
      <c r="O219" s="4" t="s">
        <v>104</v>
      </c>
      <c r="Q219" s="4" t="s">
        <v>104</v>
      </c>
      <c r="W219" s="4" t="s">
        <v>25</v>
      </c>
      <c r="X219" s="4" t="s">
        <v>1170</v>
      </c>
      <c r="AB219" s="6">
        <v>44720</v>
      </c>
      <c r="AC219" s="6">
        <v>45048</v>
      </c>
      <c r="AD219" s="6">
        <v>44733</v>
      </c>
    </row>
    <row r="220" spans="1:30" x14ac:dyDescent="0.35">
      <c r="A220" s="7" t="s">
        <v>1171</v>
      </c>
      <c r="B220" s="4" t="s">
        <v>1172</v>
      </c>
      <c r="D220" s="4" t="s">
        <v>1173</v>
      </c>
      <c r="E220" s="4" t="s">
        <v>1174</v>
      </c>
      <c r="G220" s="4" t="s">
        <v>89</v>
      </c>
      <c r="I220" s="4" t="s">
        <v>1175</v>
      </c>
      <c r="J220" s="4" t="s">
        <v>8</v>
      </c>
      <c r="K220" s="4" t="s">
        <v>91</v>
      </c>
      <c r="L220" s="4" t="s">
        <v>169</v>
      </c>
      <c r="M220" s="4" t="s">
        <v>154</v>
      </c>
      <c r="N220" s="4">
        <f>1.5436/1000</f>
        <v>1.5436E-3</v>
      </c>
      <c r="O220" s="4" t="s">
        <v>2415</v>
      </c>
      <c r="Q220" s="4" t="s">
        <v>44</v>
      </c>
      <c r="R220" s="4" t="s">
        <v>52</v>
      </c>
      <c r="W220" s="4" t="s">
        <v>2535</v>
      </c>
      <c r="Y220" s="4" t="s">
        <v>2536</v>
      </c>
      <c r="Z220" s="4" t="s">
        <v>2566</v>
      </c>
      <c r="AB220" s="6">
        <v>44720</v>
      </c>
      <c r="AC220" s="6">
        <v>45048</v>
      </c>
      <c r="AD220" s="6">
        <v>44733</v>
      </c>
    </row>
    <row r="221" spans="1:30" x14ac:dyDescent="0.35">
      <c r="A221" s="7" t="s">
        <v>2212</v>
      </c>
      <c r="B221" s="4" t="s">
        <v>2099</v>
      </c>
      <c r="C221" s="4" t="s">
        <v>2141</v>
      </c>
      <c r="D221" s="4" t="s">
        <v>2142</v>
      </c>
      <c r="E221" s="4" t="s">
        <v>2144</v>
      </c>
      <c r="G221" s="4" t="s">
        <v>100</v>
      </c>
      <c r="H221" s="4">
        <v>8</v>
      </c>
      <c r="I221" s="4" t="s">
        <v>2143</v>
      </c>
      <c r="K221" s="4" t="s">
        <v>112</v>
      </c>
      <c r="L221" s="4" t="s">
        <v>33</v>
      </c>
      <c r="M221" s="4" t="s">
        <v>33</v>
      </c>
      <c r="N221" s="4">
        <f>17.4/1000</f>
        <v>1.7399999999999999E-2</v>
      </c>
      <c r="O221" s="4" t="s">
        <v>52</v>
      </c>
      <c r="Q221" s="4" t="s">
        <v>52</v>
      </c>
      <c r="W221" s="4" t="s">
        <v>2140</v>
      </c>
      <c r="X221" s="4" t="s">
        <v>2139</v>
      </c>
      <c r="AB221" s="6"/>
      <c r="AC221" s="6"/>
      <c r="AD221" s="6"/>
    </row>
    <row r="222" spans="1:30" x14ac:dyDescent="0.35">
      <c r="A222" s="7" t="s">
        <v>1176</v>
      </c>
      <c r="B222" s="4" t="s">
        <v>1177</v>
      </c>
      <c r="D222" s="4" t="s">
        <v>1178</v>
      </c>
      <c r="E222" s="4" t="s">
        <v>1179</v>
      </c>
      <c r="G222" s="4" t="s">
        <v>73</v>
      </c>
      <c r="H222" s="4">
        <v>3</v>
      </c>
      <c r="I222" s="4" t="s">
        <v>1180</v>
      </c>
      <c r="J222" s="4" t="s">
        <v>8</v>
      </c>
      <c r="K222" s="4" t="s">
        <v>378</v>
      </c>
      <c r="L222" s="4" t="s">
        <v>92</v>
      </c>
      <c r="M222" s="4" t="s">
        <v>656</v>
      </c>
      <c r="N222" s="4">
        <f>32.76/1000</f>
        <v>3.2759999999999997E-2</v>
      </c>
      <c r="O222" s="4" t="s">
        <v>94</v>
      </c>
      <c r="Q222" s="4" t="s">
        <v>94</v>
      </c>
      <c r="W222" s="4" t="s">
        <v>25</v>
      </c>
      <c r="X222" s="4" t="s">
        <v>1181</v>
      </c>
      <c r="Y222" s="4" t="s">
        <v>1182</v>
      </c>
      <c r="AB222" s="6">
        <v>44720</v>
      </c>
      <c r="AC222" s="6">
        <v>45049</v>
      </c>
      <c r="AD222" s="6">
        <v>44733</v>
      </c>
    </row>
    <row r="223" spans="1:30" x14ac:dyDescent="0.35">
      <c r="A223" s="7" t="s">
        <v>1183</v>
      </c>
      <c r="B223" s="4" t="s">
        <v>1184</v>
      </c>
      <c r="D223" s="4" t="s">
        <v>1185</v>
      </c>
      <c r="E223" s="4" t="s">
        <v>1186</v>
      </c>
      <c r="G223" s="4" t="s">
        <v>89</v>
      </c>
      <c r="H223" s="4">
        <v>0.6</v>
      </c>
      <c r="I223" s="4" t="s">
        <v>1187</v>
      </c>
      <c r="J223" s="4" t="s">
        <v>8</v>
      </c>
      <c r="K223" s="4" t="s">
        <v>378</v>
      </c>
      <c r="L223" s="4" t="s">
        <v>92</v>
      </c>
      <c r="M223" s="4" t="s">
        <v>656</v>
      </c>
      <c r="N223" s="4">
        <f>21/1000</f>
        <v>2.1000000000000001E-2</v>
      </c>
      <c r="O223" s="4" t="s">
        <v>94</v>
      </c>
      <c r="Q223" s="4" t="s">
        <v>94</v>
      </c>
      <c r="R223" s="4" t="s">
        <v>44</v>
      </c>
      <c r="W223" s="4" t="s">
        <v>1094</v>
      </c>
      <c r="X223" s="4" t="s">
        <v>1188</v>
      </c>
      <c r="Y223" s="4" t="s">
        <v>1182</v>
      </c>
      <c r="AB223" s="6">
        <v>44720</v>
      </c>
      <c r="AC223" s="6">
        <v>45049</v>
      </c>
      <c r="AD223" s="6">
        <v>44733</v>
      </c>
    </row>
    <row r="224" spans="1:30" x14ac:dyDescent="0.35">
      <c r="A224" s="7" t="s">
        <v>1189</v>
      </c>
      <c r="B224" s="4" t="s">
        <v>1190</v>
      </c>
      <c r="D224" s="4" t="s">
        <v>1191</v>
      </c>
      <c r="E224" s="4" t="s">
        <v>1192</v>
      </c>
      <c r="G224" s="4" t="s">
        <v>73</v>
      </c>
      <c r="H224" s="4">
        <v>6</v>
      </c>
      <c r="I224" s="4" t="s">
        <v>1193</v>
      </c>
      <c r="K224" s="4" t="s">
        <v>112</v>
      </c>
      <c r="L224" s="4" t="s">
        <v>33</v>
      </c>
      <c r="M224" s="4" t="s">
        <v>33</v>
      </c>
      <c r="N224" s="4">
        <f>2.54/1000</f>
        <v>2.5400000000000002E-3</v>
      </c>
      <c r="O224" s="4" t="s">
        <v>52</v>
      </c>
      <c r="Q224" s="4" t="s">
        <v>52</v>
      </c>
      <c r="W224" s="4" t="s">
        <v>2506</v>
      </c>
      <c r="X224" s="4" t="s">
        <v>2507</v>
      </c>
      <c r="Y224" s="4" t="s">
        <v>2508</v>
      </c>
      <c r="AB224" s="6">
        <v>44720</v>
      </c>
      <c r="AC224" s="6">
        <v>45096</v>
      </c>
      <c r="AD224" s="6">
        <v>45096</v>
      </c>
    </row>
    <row r="225" spans="1:30" x14ac:dyDescent="0.35">
      <c r="A225" s="7" t="s">
        <v>1194</v>
      </c>
      <c r="B225" s="4" t="s">
        <v>1195</v>
      </c>
      <c r="D225" s="4" t="s">
        <v>1196</v>
      </c>
      <c r="G225" s="4" t="s">
        <v>89</v>
      </c>
      <c r="H225" s="4">
        <v>1</v>
      </c>
      <c r="I225" s="4" t="s">
        <v>1197</v>
      </c>
      <c r="J225" s="4" t="s">
        <v>8</v>
      </c>
      <c r="K225" s="4" t="s">
        <v>722</v>
      </c>
      <c r="L225" s="4" t="s">
        <v>92</v>
      </c>
      <c r="M225" s="4" t="s">
        <v>841</v>
      </c>
      <c r="N225" s="4">
        <f>0.3/1000</f>
        <v>2.9999999999999997E-4</v>
      </c>
      <c r="O225" s="4" t="s">
        <v>44</v>
      </c>
      <c r="Q225" s="4" t="s">
        <v>44</v>
      </c>
      <c r="R225" s="4" t="s">
        <v>52</v>
      </c>
      <c r="S225" s="4" t="s">
        <v>105</v>
      </c>
      <c r="W225" s="4" t="s">
        <v>2599</v>
      </c>
      <c r="X225" s="4" t="s">
        <v>1198</v>
      </c>
      <c r="Y225" s="4" t="s">
        <v>2457</v>
      </c>
      <c r="AB225" s="6">
        <v>44720</v>
      </c>
      <c r="AC225" s="6">
        <v>45049</v>
      </c>
      <c r="AD225" s="6">
        <v>44733</v>
      </c>
    </row>
    <row r="226" spans="1:30" x14ac:dyDescent="0.35">
      <c r="A226" s="7" t="s">
        <v>1199</v>
      </c>
      <c r="B226" s="4" t="s">
        <v>1200</v>
      </c>
      <c r="D226" s="4" t="s">
        <v>1201</v>
      </c>
      <c r="E226" s="4" t="s">
        <v>1202</v>
      </c>
      <c r="G226" s="4" t="s">
        <v>89</v>
      </c>
      <c r="H226" s="4">
        <v>1</v>
      </c>
      <c r="I226" s="4" t="s">
        <v>1203</v>
      </c>
      <c r="J226" s="4" t="s">
        <v>8</v>
      </c>
      <c r="K226" s="4" t="s">
        <v>91</v>
      </c>
      <c r="L226" s="4" t="s">
        <v>92</v>
      </c>
      <c r="M226" s="4" t="s">
        <v>841</v>
      </c>
      <c r="N226" s="4">
        <f>0.07/1000</f>
        <v>7.0000000000000007E-5</v>
      </c>
      <c r="O226" s="4" t="s">
        <v>44</v>
      </c>
      <c r="Q226" s="4" t="s">
        <v>44</v>
      </c>
      <c r="R226" s="4" t="s">
        <v>105</v>
      </c>
      <c r="S226" s="4" t="s">
        <v>52</v>
      </c>
      <c r="T226" s="4" t="s">
        <v>2071</v>
      </c>
      <c r="W226" s="4" t="s">
        <v>2600</v>
      </c>
      <c r="X226" s="4" t="s">
        <v>1204</v>
      </c>
      <c r="Y226" s="4" t="s">
        <v>2458</v>
      </c>
      <c r="AB226" s="6">
        <v>44720</v>
      </c>
      <c r="AC226" s="6">
        <v>45049</v>
      </c>
      <c r="AD226" s="6">
        <v>44733</v>
      </c>
    </row>
    <row r="227" spans="1:30" x14ac:dyDescent="0.35">
      <c r="A227" s="7" t="s">
        <v>1205</v>
      </c>
      <c r="B227" s="4" t="s">
        <v>1206</v>
      </c>
      <c r="C227" s="4" t="s">
        <v>1207</v>
      </c>
      <c r="D227" s="4" t="s">
        <v>1208</v>
      </c>
      <c r="E227" s="4" t="s">
        <v>1209</v>
      </c>
      <c r="G227" s="4" t="s">
        <v>89</v>
      </c>
      <c r="H227" s="4">
        <v>2</v>
      </c>
      <c r="I227" s="4" t="s">
        <v>1210</v>
      </c>
      <c r="K227" s="4" t="s">
        <v>1211</v>
      </c>
      <c r="L227" s="4" t="s">
        <v>92</v>
      </c>
      <c r="M227" s="4" t="s">
        <v>154</v>
      </c>
      <c r="N227" s="4">
        <f>12.69/1000</f>
        <v>1.269E-2</v>
      </c>
      <c r="O227" s="4" t="s">
        <v>2415</v>
      </c>
      <c r="Q227" s="4" t="s">
        <v>292</v>
      </c>
      <c r="X227" s="10" t="s">
        <v>1212</v>
      </c>
      <c r="Z227" s="4" t="s">
        <v>2566</v>
      </c>
      <c r="AB227" s="6">
        <v>44720</v>
      </c>
      <c r="AC227" s="6">
        <v>45049</v>
      </c>
      <c r="AD227" s="6">
        <v>44734</v>
      </c>
    </row>
    <row r="228" spans="1:30" x14ac:dyDescent="0.35">
      <c r="A228" s="7" t="s">
        <v>1213</v>
      </c>
      <c r="B228" s="4" t="s">
        <v>1214</v>
      </c>
      <c r="D228" s="4" t="s">
        <v>1215</v>
      </c>
      <c r="E228" s="4" t="s">
        <v>1216</v>
      </c>
      <c r="F228" s="4" t="s">
        <v>30</v>
      </c>
      <c r="G228" s="4" t="s">
        <v>73</v>
      </c>
      <c r="H228" s="4">
        <v>10</v>
      </c>
      <c r="I228" s="4" t="s">
        <v>1217</v>
      </c>
      <c r="K228" s="4" t="s">
        <v>91</v>
      </c>
      <c r="L228" s="4" t="s">
        <v>33</v>
      </c>
      <c r="M228" s="4" t="s">
        <v>34</v>
      </c>
      <c r="N228" s="4">
        <f>14.55/1000</f>
        <v>1.455E-2</v>
      </c>
      <c r="O228" s="4" t="s">
        <v>52</v>
      </c>
      <c r="Q228" s="4" t="s">
        <v>52</v>
      </c>
      <c r="W228" s="4" t="s">
        <v>25</v>
      </c>
      <c r="X228" s="4" t="s">
        <v>1218</v>
      </c>
      <c r="AB228" s="6">
        <v>44720</v>
      </c>
      <c r="AC228" s="6">
        <v>45096</v>
      </c>
      <c r="AD228" s="6">
        <v>45096</v>
      </c>
    </row>
    <row r="229" spans="1:30" x14ac:dyDescent="0.35">
      <c r="A229" s="7" t="s">
        <v>1219</v>
      </c>
      <c r="B229" s="4" t="s">
        <v>1220</v>
      </c>
      <c r="D229" s="4" t="s">
        <v>1221</v>
      </c>
      <c r="G229" s="4" t="s">
        <v>89</v>
      </c>
      <c r="I229" s="4" t="s">
        <v>1222</v>
      </c>
      <c r="J229" s="4" t="s">
        <v>8</v>
      </c>
      <c r="K229" s="4" t="s">
        <v>378</v>
      </c>
      <c r="L229" s="4" t="s">
        <v>92</v>
      </c>
      <c r="M229" s="4" t="s">
        <v>154</v>
      </c>
      <c r="N229" s="4">
        <f>1.6/1000</f>
        <v>1.6000000000000001E-3</v>
      </c>
      <c r="O229" s="4" t="s">
        <v>2415</v>
      </c>
      <c r="Q229" s="4" t="s">
        <v>52</v>
      </c>
      <c r="R229" s="4" t="s">
        <v>44</v>
      </c>
      <c r="W229" s="4" t="s">
        <v>2601</v>
      </c>
      <c r="X229" s="4" t="s">
        <v>1223</v>
      </c>
      <c r="Y229" s="4" t="s">
        <v>2537</v>
      </c>
      <c r="AB229" s="6">
        <v>44727</v>
      </c>
      <c r="AC229" s="6"/>
      <c r="AD229" s="6">
        <v>44734</v>
      </c>
    </row>
    <row r="230" spans="1:30" x14ac:dyDescent="0.35">
      <c r="A230" s="7" t="s">
        <v>1224</v>
      </c>
      <c r="B230" s="4" t="s">
        <v>1225</v>
      </c>
      <c r="D230" s="4" t="s">
        <v>1226</v>
      </c>
      <c r="G230" s="4" t="s">
        <v>73</v>
      </c>
      <c r="H230" s="4">
        <v>2</v>
      </c>
      <c r="I230" s="4" t="s">
        <v>1227</v>
      </c>
      <c r="K230" s="4" t="s">
        <v>91</v>
      </c>
      <c r="L230" s="4" t="s">
        <v>92</v>
      </c>
      <c r="M230" s="4" t="s">
        <v>1228</v>
      </c>
      <c r="N230" s="4">
        <f>31.151/1000</f>
        <v>3.1150999999999998E-2</v>
      </c>
      <c r="O230" s="4" t="s">
        <v>44</v>
      </c>
      <c r="Q230" s="4" t="s">
        <v>44</v>
      </c>
      <c r="R230" s="4" t="s">
        <v>2071</v>
      </c>
      <c r="S230" s="4" t="s">
        <v>52</v>
      </c>
      <c r="W230" s="4" t="s">
        <v>2602</v>
      </c>
      <c r="X230" s="4" t="s">
        <v>2409</v>
      </c>
      <c r="Y230" s="4" t="s">
        <v>1229</v>
      </c>
      <c r="AB230" s="6">
        <v>44720</v>
      </c>
      <c r="AC230" s="6"/>
      <c r="AD230" s="6">
        <v>44734</v>
      </c>
    </row>
    <row r="231" spans="1:30" x14ac:dyDescent="0.35">
      <c r="A231" s="7" t="s">
        <v>2213</v>
      </c>
      <c r="B231" s="4" t="s">
        <v>1230</v>
      </c>
      <c r="D231" s="4" t="s">
        <v>1231</v>
      </c>
      <c r="F231" s="4" t="s">
        <v>151</v>
      </c>
      <c r="G231" s="4" t="s">
        <v>89</v>
      </c>
      <c r="H231" s="4">
        <v>2</v>
      </c>
      <c r="I231" s="4" t="s">
        <v>1232</v>
      </c>
      <c r="K231" s="4" t="s">
        <v>153</v>
      </c>
      <c r="L231" s="4" t="s">
        <v>92</v>
      </c>
      <c r="M231" s="4" t="s">
        <v>495</v>
      </c>
      <c r="O231" s="4" t="s">
        <v>104</v>
      </c>
      <c r="Q231" s="4" t="s">
        <v>104</v>
      </c>
      <c r="W231" s="4" t="s">
        <v>2586</v>
      </c>
      <c r="Y231" s="4" t="s">
        <v>1233</v>
      </c>
      <c r="AB231" s="6">
        <v>44720</v>
      </c>
      <c r="AC231" s="6">
        <v>45049</v>
      </c>
      <c r="AD231" s="6">
        <v>44734</v>
      </c>
    </row>
    <row r="232" spans="1:30" x14ac:dyDescent="0.35">
      <c r="A232" s="7" t="s">
        <v>2214</v>
      </c>
      <c r="B232" s="4" t="s">
        <v>1234</v>
      </c>
      <c r="D232" s="4" t="s">
        <v>1235</v>
      </c>
      <c r="E232" s="4" t="s">
        <v>1236</v>
      </c>
      <c r="G232" s="4" t="s">
        <v>89</v>
      </c>
      <c r="H232" s="4">
        <v>0.6</v>
      </c>
      <c r="I232" s="4" t="s">
        <v>1237</v>
      </c>
      <c r="K232" s="4" t="s">
        <v>91</v>
      </c>
      <c r="L232" s="4" t="s">
        <v>92</v>
      </c>
      <c r="M232" s="4" t="s">
        <v>154</v>
      </c>
      <c r="N232" s="4">
        <f>3.11/1000</f>
        <v>3.1099999999999999E-3</v>
      </c>
      <c r="O232" s="4" t="s">
        <v>2415</v>
      </c>
      <c r="Q232" s="4" t="s">
        <v>2071</v>
      </c>
      <c r="R232" s="4" t="s">
        <v>44</v>
      </c>
      <c r="S232" s="4" t="s">
        <v>105</v>
      </c>
      <c r="W232" s="4" t="s">
        <v>2603</v>
      </c>
      <c r="X232" s="4" t="s">
        <v>1238</v>
      </c>
      <c r="Y232" s="4" t="s">
        <v>1239</v>
      </c>
      <c r="AB232" s="6">
        <v>44720</v>
      </c>
      <c r="AC232" s="6">
        <v>45049</v>
      </c>
      <c r="AD232" s="6">
        <v>44734</v>
      </c>
    </row>
    <row r="233" spans="1:30" x14ac:dyDescent="0.35">
      <c r="A233" s="7" t="s">
        <v>1240</v>
      </c>
      <c r="B233" s="4" t="s">
        <v>1241</v>
      </c>
      <c r="D233" s="4" t="s">
        <v>1242</v>
      </c>
      <c r="E233" s="4" t="s">
        <v>1243</v>
      </c>
      <c r="F233" s="4" t="s">
        <v>30</v>
      </c>
      <c r="G233" s="4" t="s">
        <v>73</v>
      </c>
      <c r="I233" s="4" t="s">
        <v>1244</v>
      </c>
      <c r="K233" s="4" t="s">
        <v>571</v>
      </c>
      <c r="L233" s="4" t="s">
        <v>33</v>
      </c>
      <c r="M233" s="4" t="s">
        <v>33</v>
      </c>
      <c r="N233" s="4">
        <f>14.66/1000</f>
        <v>1.4659999999999999E-2</v>
      </c>
      <c r="O233" s="4" t="s">
        <v>52</v>
      </c>
      <c r="Q233" s="4" t="s">
        <v>52</v>
      </c>
      <c r="R233" s="4" t="s">
        <v>44</v>
      </c>
      <c r="W233" s="4" t="s">
        <v>2498</v>
      </c>
      <c r="Y233" s="4" t="s">
        <v>2499</v>
      </c>
      <c r="AB233" s="6">
        <v>44720</v>
      </c>
      <c r="AC233" s="6">
        <v>45096</v>
      </c>
      <c r="AD233" s="6">
        <v>45096</v>
      </c>
    </row>
    <row r="234" spans="1:30" x14ac:dyDescent="0.35">
      <c r="A234" s="7" t="s">
        <v>2215</v>
      </c>
      <c r="B234" s="4" t="s">
        <v>1245</v>
      </c>
      <c r="D234" s="4" t="s">
        <v>1246</v>
      </c>
      <c r="E234" s="4" t="s">
        <v>1247</v>
      </c>
      <c r="G234" s="4" t="s">
        <v>73</v>
      </c>
      <c r="H234" s="4">
        <v>1.5</v>
      </c>
      <c r="I234" s="4" t="s">
        <v>1248</v>
      </c>
      <c r="J234" s="4" t="s">
        <v>8</v>
      </c>
      <c r="K234" s="4" t="s">
        <v>91</v>
      </c>
      <c r="L234" s="4" t="s">
        <v>92</v>
      </c>
      <c r="M234" s="4" t="s">
        <v>495</v>
      </c>
      <c r="N234" s="4">
        <f>0.0473/1000</f>
        <v>4.7300000000000005E-5</v>
      </c>
      <c r="O234" s="4" t="s">
        <v>104</v>
      </c>
      <c r="Q234" s="4" t="s">
        <v>104</v>
      </c>
      <c r="R234" s="4" t="s">
        <v>44</v>
      </c>
      <c r="V234" s="4" t="s">
        <v>1249</v>
      </c>
      <c r="W234" s="4" t="s">
        <v>2370</v>
      </c>
      <c r="X234" s="4" t="s">
        <v>1250</v>
      </c>
      <c r="Y234" s="4" t="s">
        <v>1251</v>
      </c>
      <c r="AB234" s="6">
        <v>44720</v>
      </c>
      <c r="AC234" s="6">
        <v>45049</v>
      </c>
      <c r="AD234" s="6">
        <v>44734</v>
      </c>
    </row>
    <row r="235" spans="1:30" x14ac:dyDescent="0.35">
      <c r="A235" s="7" t="s">
        <v>1252</v>
      </c>
      <c r="B235" s="4" t="s">
        <v>1253</v>
      </c>
      <c r="D235" s="4" t="s">
        <v>1254</v>
      </c>
      <c r="E235" s="4" t="s">
        <v>1255</v>
      </c>
      <c r="K235" s="4" t="s">
        <v>1211</v>
      </c>
      <c r="L235" s="4" t="s">
        <v>169</v>
      </c>
      <c r="AA235" s="4" t="s">
        <v>154</v>
      </c>
      <c r="AB235" s="6">
        <v>44720</v>
      </c>
      <c r="AC235" s="6"/>
    </row>
    <row r="236" spans="1:30" x14ac:dyDescent="0.35">
      <c r="A236" s="7" t="s">
        <v>1256</v>
      </c>
      <c r="B236" s="4" t="s">
        <v>1257</v>
      </c>
      <c r="D236" s="4" t="s">
        <v>1258</v>
      </c>
      <c r="E236" s="4" t="s">
        <v>1259</v>
      </c>
      <c r="F236" s="4" t="s">
        <v>151</v>
      </c>
      <c r="G236" s="4" t="s">
        <v>89</v>
      </c>
      <c r="H236" s="4">
        <v>0.3</v>
      </c>
      <c r="I236" s="4" t="s">
        <v>1260</v>
      </c>
      <c r="K236" s="4" t="s">
        <v>153</v>
      </c>
      <c r="L236" s="4" t="s">
        <v>92</v>
      </c>
      <c r="M236" s="4" t="s">
        <v>352</v>
      </c>
      <c r="N236" s="4">
        <f>0.4/1000</f>
        <v>4.0000000000000002E-4</v>
      </c>
      <c r="O236" s="4" t="s">
        <v>105</v>
      </c>
      <c r="Q236" s="4" t="s">
        <v>105</v>
      </c>
      <c r="R236" s="4" t="s">
        <v>52</v>
      </c>
      <c r="W236" s="4" t="s">
        <v>2433</v>
      </c>
      <c r="Y236" s="4" t="s">
        <v>2432</v>
      </c>
      <c r="Z236" s="4" t="s">
        <v>2566</v>
      </c>
      <c r="AB236" s="6">
        <v>44720</v>
      </c>
      <c r="AC236" s="6"/>
      <c r="AD236" s="6">
        <v>44734</v>
      </c>
    </row>
    <row r="237" spans="1:30" x14ac:dyDescent="0.35">
      <c r="A237" s="7" t="s">
        <v>2216</v>
      </c>
      <c r="B237" s="4" t="s">
        <v>1261</v>
      </c>
      <c r="C237" s="4" t="s">
        <v>1262</v>
      </c>
      <c r="D237" s="4" t="s">
        <v>1263</v>
      </c>
      <c r="E237" s="4" t="s">
        <v>1264</v>
      </c>
      <c r="F237" s="4" t="s">
        <v>151</v>
      </c>
      <c r="G237" s="4" t="s">
        <v>89</v>
      </c>
      <c r="H237" s="4">
        <v>1.2</v>
      </c>
      <c r="I237" s="4" t="s">
        <v>1265</v>
      </c>
      <c r="K237" s="4" t="s">
        <v>153</v>
      </c>
      <c r="L237" s="4" t="s">
        <v>92</v>
      </c>
      <c r="M237" s="4" t="s">
        <v>1266</v>
      </c>
      <c r="N237" s="4">
        <f>6.7/1000</f>
        <v>6.7000000000000002E-3</v>
      </c>
      <c r="O237" s="4" t="s">
        <v>105</v>
      </c>
      <c r="Q237" s="4" t="s">
        <v>105</v>
      </c>
      <c r="R237" s="4" t="s">
        <v>52</v>
      </c>
      <c r="S237" s="4" t="s">
        <v>2071</v>
      </c>
      <c r="T237" s="4" t="s">
        <v>44</v>
      </c>
      <c r="W237" s="4" t="s">
        <v>1267</v>
      </c>
      <c r="X237" s="4" t="s">
        <v>1268</v>
      </c>
      <c r="Y237" s="4" t="s">
        <v>1269</v>
      </c>
      <c r="Z237" s="4" t="s">
        <v>2566</v>
      </c>
      <c r="AB237" s="6">
        <v>44720</v>
      </c>
      <c r="AC237" s="6">
        <v>45051</v>
      </c>
    </row>
    <row r="238" spans="1:30" x14ac:dyDescent="0.35">
      <c r="A238" s="7" t="s">
        <v>1270</v>
      </c>
      <c r="B238" s="4" t="s">
        <v>1271</v>
      </c>
      <c r="C238" s="4" t="s">
        <v>1272</v>
      </c>
      <c r="E238" s="4" t="s">
        <v>1273</v>
      </c>
      <c r="F238" s="4" t="s">
        <v>151</v>
      </c>
      <c r="G238" s="4" t="s">
        <v>89</v>
      </c>
      <c r="H238" s="4">
        <v>0.7</v>
      </c>
      <c r="I238" s="4" t="s">
        <v>1274</v>
      </c>
      <c r="K238" s="4" t="s">
        <v>153</v>
      </c>
      <c r="L238" s="4" t="s">
        <v>92</v>
      </c>
      <c r="M238" s="4" t="s">
        <v>1275</v>
      </c>
      <c r="N238" s="4">
        <f>0.31/1000</f>
        <v>3.1E-4</v>
      </c>
      <c r="O238" s="4" t="s">
        <v>2415</v>
      </c>
      <c r="Q238" s="4" t="s">
        <v>2071</v>
      </c>
      <c r="W238" s="4" t="s">
        <v>1276</v>
      </c>
      <c r="Y238" s="4" t="s">
        <v>1277</v>
      </c>
      <c r="Z238" s="4" t="s">
        <v>2566</v>
      </c>
      <c r="AB238" s="6">
        <v>44720</v>
      </c>
      <c r="AC238" s="6"/>
      <c r="AD238" s="6">
        <v>45051</v>
      </c>
    </row>
    <row r="239" spans="1:30" x14ac:dyDescent="0.35">
      <c r="A239" s="7" t="s">
        <v>1278</v>
      </c>
      <c r="B239" s="4" t="s">
        <v>1279</v>
      </c>
      <c r="C239" s="4" t="s">
        <v>1280</v>
      </c>
      <c r="D239" s="4" t="s">
        <v>1281</v>
      </c>
      <c r="E239" s="4" t="s">
        <v>1273</v>
      </c>
      <c r="F239" s="4" t="s">
        <v>151</v>
      </c>
      <c r="G239" s="4" t="s">
        <v>89</v>
      </c>
      <c r="H239" s="4">
        <v>0.7</v>
      </c>
      <c r="I239" s="4" t="s">
        <v>1282</v>
      </c>
      <c r="J239" s="4" t="s">
        <v>8</v>
      </c>
      <c r="K239" s="4" t="s">
        <v>153</v>
      </c>
      <c r="L239" s="4" t="s">
        <v>92</v>
      </c>
      <c r="M239" s="4" t="s">
        <v>2424</v>
      </c>
      <c r="O239" s="4" t="s">
        <v>104</v>
      </c>
      <c r="Q239" s="4" t="s">
        <v>104</v>
      </c>
      <c r="R239" s="4" t="s">
        <v>105</v>
      </c>
      <c r="S239" s="4" t="s">
        <v>52</v>
      </c>
      <c r="V239" s="4" t="s">
        <v>1283</v>
      </c>
      <c r="W239" s="4" t="s">
        <v>1284</v>
      </c>
      <c r="X239" s="4" t="s">
        <v>1285</v>
      </c>
      <c r="Y239" s="4" t="s">
        <v>1286</v>
      </c>
      <c r="AB239" s="6">
        <v>44720</v>
      </c>
      <c r="AC239" s="6"/>
    </row>
    <row r="240" spans="1:30" x14ac:dyDescent="0.35">
      <c r="A240" s="7" t="s">
        <v>1287</v>
      </c>
      <c r="B240" s="4" t="s">
        <v>1288</v>
      </c>
      <c r="D240" s="4" t="s">
        <v>1289</v>
      </c>
      <c r="K240" s="4" t="s">
        <v>296</v>
      </c>
      <c r="L240" s="4" t="s">
        <v>297</v>
      </c>
      <c r="AB240" s="6">
        <v>44720</v>
      </c>
      <c r="AC240" s="6"/>
    </row>
    <row r="241" spans="1:30" x14ac:dyDescent="0.35">
      <c r="A241" s="7" t="s">
        <v>1290</v>
      </c>
      <c r="B241" s="4" t="s">
        <v>1291</v>
      </c>
      <c r="D241" s="4" t="s">
        <v>1292</v>
      </c>
      <c r="E241" s="4" t="s">
        <v>1293</v>
      </c>
      <c r="G241" s="4" t="s">
        <v>89</v>
      </c>
      <c r="I241" s="4" t="s">
        <v>1294</v>
      </c>
      <c r="J241" s="4" t="s">
        <v>8</v>
      </c>
      <c r="K241" s="4" t="s">
        <v>459</v>
      </c>
      <c r="L241" s="4" t="s">
        <v>169</v>
      </c>
      <c r="W241" s="4" t="s">
        <v>1295</v>
      </c>
      <c r="X241" s="4" t="s">
        <v>44</v>
      </c>
      <c r="AA241" s="4" t="s">
        <v>168</v>
      </c>
      <c r="AB241" s="6">
        <v>44720</v>
      </c>
      <c r="AC241" s="6">
        <v>45051</v>
      </c>
    </row>
    <row r="242" spans="1:30" x14ac:dyDescent="0.35">
      <c r="A242" s="7" t="s">
        <v>1296</v>
      </c>
      <c r="B242" s="4" t="s">
        <v>1297</v>
      </c>
      <c r="D242" s="4" t="s">
        <v>1298</v>
      </c>
      <c r="E242" s="4" t="s">
        <v>1299</v>
      </c>
      <c r="G242" s="4" t="s">
        <v>89</v>
      </c>
      <c r="I242" s="4" t="s">
        <v>1300</v>
      </c>
      <c r="J242" s="4" t="s">
        <v>8</v>
      </c>
      <c r="K242" s="4" t="s">
        <v>459</v>
      </c>
      <c r="L242" s="4" t="s">
        <v>169</v>
      </c>
      <c r="M242" s="4" t="s">
        <v>2425</v>
      </c>
      <c r="O242" s="4" t="s">
        <v>44</v>
      </c>
      <c r="Q242" s="4" t="s">
        <v>44</v>
      </c>
      <c r="R242" s="4" t="s">
        <v>52</v>
      </c>
      <c r="W242" s="4" t="s">
        <v>2538</v>
      </c>
      <c r="X242" s="4" t="s">
        <v>1301</v>
      </c>
      <c r="Y242" s="4" t="s">
        <v>2539</v>
      </c>
      <c r="AB242" s="6">
        <v>44720</v>
      </c>
      <c r="AC242" s="6">
        <v>45051</v>
      </c>
    </row>
    <row r="243" spans="1:30" x14ac:dyDescent="0.35">
      <c r="A243" s="7" t="s">
        <v>2217</v>
      </c>
      <c r="B243" s="4" t="s">
        <v>1302</v>
      </c>
      <c r="D243" s="4" t="s">
        <v>1303</v>
      </c>
      <c r="E243" s="4" t="s">
        <v>1304</v>
      </c>
      <c r="G243" s="4" t="s">
        <v>73</v>
      </c>
      <c r="H243" s="4">
        <v>3</v>
      </c>
      <c r="I243" s="4" t="s">
        <v>1305</v>
      </c>
      <c r="L243" s="4" t="s">
        <v>33</v>
      </c>
      <c r="M243" s="4" t="s">
        <v>33</v>
      </c>
      <c r="N243" s="4">
        <f>55.06/1000</f>
        <v>5.5060000000000005E-2</v>
      </c>
      <c r="O243" s="4" t="s">
        <v>52</v>
      </c>
      <c r="Q243" s="4" t="s">
        <v>52</v>
      </c>
      <c r="R243" s="4" t="s">
        <v>44</v>
      </c>
      <c r="W243" s="4" t="s">
        <v>1306</v>
      </c>
      <c r="X243" s="4" t="s">
        <v>1307</v>
      </c>
      <c r="AB243" s="6">
        <v>44720</v>
      </c>
      <c r="AC243" s="6">
        <v>45096</v>
      </c>
      <c r="AD243" s="6">
        <v>45096</v>
      </c>
    </row>
    <row r="244" spans="1:30" x14ac:dyDescent="0.35">
      <c r="A244" s="7" t="s">
        <v>1308</v>
      </c>
      <c r="B244" s="4" t="s">
        <v>1309</v>
      </c>
      <c r="C244" s="4" t="s">
        <v>1310</v>
      </c>
      <c r="D244" s="4" t="s">
        <v>1311</v>
      </c>
      <c r="E244" s="4" t="s">
        <v>1312</v>
      </c>
      <c r="F244" s="4" t="s">
        <v>30</v>
      </c>
      <c r="G244" s="4" t="s">
        <v>73</v>
      </c>
      <c r="H244" s="4">
        <v>7</v>
      </c>
      <c r="I244" s="4" t="s">
        <v>1313</v>
      </c>
      <c r="K244" s="4" t="s">
        <v>571</v>
      </c>
      <c r="L244" s="4" t="s">
        <v>33</v>
      </c>
      <c r="M244" s="4" t="s">
        <v>33</v>
      </c>
      <c r="N244" s="4">
        <f>107.78/1000</f>
        <v>0.10778</v>
      </c>
      <c r="O244" s="4" t="s">
        <v>52</v>
      </c>
      <c r="Q244" s="4" t="s">
        <v>52</v>
      </c>
      <c r="W244" s="4" t="s">
        <v>1314</v>
      </c>
      <c r="X244" s="4" t="s">
        <v>1315</v>
      </c>
      <c r="Y244" s="4" t="s">
        <v>1316</v>
      </c>
      <c r="AB244" s="6">
        <v>44720</v>
      </c>
      <c r="AC244" s="6">
        <v>45096</v>
      </c>
      <c r="AD244" s="6">
        <v>45096</v>
      </c>
    </row>
    <row r="245" spans="1:30" x14ac:dyDescent="0.35">
      <c r="A245" s="7" t="s">
        <v>1317</v>
      </c>
      <c r="B245" s="4" t="s">
        <v>1318</v>
      </c>
      <c r="C245" s="4" t="s">
        <v>1319</v>
      </c>
      <c r="D245" s="4" t="s">
        <v>1320</v>
      </c>
      <c r="E245" s="4" t="s">
        <v>1321</v>
      </c>
      <c r="G245" s="4" t="s">
        <v>100</v>
      </c>
      <c r="H245" s="4">
        <v>5</v>
      </c>
      <c r="I245" s="4" t="s">
        <v>1322</v>
      </c>
      <c r="K245" s="4" t="s">
        <v>112</v>
      </c>
      <c r="L245" s="4" t="s">
        <v>33</v>
      </c>
      <c r="M245" s="4" t="s">
        <v>1323</v>
      </c>
      <c r="N245" s="4">
        <f>24.16/1000</f>
        <v>2.4160000000000001E-2</v>
      </c>
      <c r="O245" s="4" t="s">
        <v>52</v>
      </c>
      <c r="P245" s="4" t="s">
        <v>35</v>
      </c>
      <c r="Q245" s="4" t="s">
        <v>52</v>
      </c>
      <c r="R245" s="4" t="s">
        <v>35</v>
      </c>
      <c r="W245" s="4" t="s">
        <v>1324</v>
      </c>
      <c r="Y245" s="4" t="s">
        <v>1325</v>
      </c>
      <c r="Z245" s="10"/>
      <c r="AB245" s="6">
        <v>44720</v>
      </c>
      <c r="AC245" s="6">
        <v>44732</v>
      </c>
      <c r="AD245" s="6">
        <v>44732</v>
      </c>
    </row>
    <row r="246" spans="1:30" x14ac:dyDescent="0.35">
      <c r="A246" s="7" t="s">
        <v>1326</v>
      </c>
      <c r="B246" s="4" t="s">
        <v>1327</v>
      </c>
      <c r="D246" s="4" t="s">
        <v>1328</v>
      </c>
      <c r="K246" s="4" t="s">
        <v>296</v>
      </c>
      <c r="L246" s="4" t="s">
        <v>297</v>
      </c>
      <c r="AB246" s="6">
        <v>44720</v>
      </c>
      <c r="AC246" s="6"/>
    </row>
    <row r="247" spans="1:30" x14ac:dyDescent="0.35">
      <c r="A247" s="7" t="s">
        <v>1329</v>
      </c>
      <c r="B247" s="4" t="s">
        <v>1330</v>
      </c>
      <c r="C247" s="4" t="s">
        <v>1331</v>
      </c>
      <c r="D247" s="4" t="s">
        <v>1332</v>
      </c>
      <c r="E247" s="4" t="s">
        <v>1333</v>
      </c>
      <c r="G247" s="4" t="s">
        <v>73</v>
      </c>
      <c r="H247" s="4">
        <v>2</v>
      </c>
      <c r="I247" s="4" t="s">
        <v>1334</v>
      </c>
      <c r="K247" s="4" t="s">
        <v>571</v>
      </c>
      <c r="L247" s="4" t="s">
        <v>33</v>
      </c>
      <c r="M247" s="4" t="s">
        <v>33</v>
      </c>
      <c r="N247" s="4">
        <f>31.2/1000</f>
        <v>3.1199999999999999E-2</v>
      </c>
      <c r="O247" s="4" t="s">
        <v>52</v>
      </c>
      <c r="Q247" s="4" t="s">
        <v>52</v>
      </c>
      <c r="W247" s="4" t="s">
        <v>2321</v>
      </c>
      <c r="X247" s="4" t="s">
        <v>1335</v>
      </c>
      <c r="Y247" s="4" t="s">
        <v>1336</v>
      </c>
      <c r="AB247" s="6">
        <v>44727</v>
      </c>
      <c r="AC247" s="6">
        <v>45097</v>
      </c>
      <c r="AD247" s="6">
        <v>45097</v>
      </c>
    </row>
    <row r="248" spans="1:30" x14ac:dyDescent="0.35">
      <c r="A248" s="7" t="s">
        <v>1337</v>
      </c>
      <c r="B248" s="4" t="s">
        <v>1338</v>
      </c>
      <c r="C248" s="4" t="s">
        <v>1339</v>
      </c>
      <c r="D248" s="4" t="s">
        <v>1340</v>
      </c>
      <c r="E248" s="4" t="s">
        <v>1341</v>
      </c>
      <c r="F248" s="4" t="s">
        <v>30</v>
      </c>
      <c r="G248" s="4" t="s">
        <v>73</v>
      </c>
      <c r="H248" s="4">
        <v>8</v>
      </c>
      <c r="I248" s="4" t="s">
        <v>1342</v>
      </c>
      <c r="J248" s="4" t="s">
        <v>8</v>
      </c>
      <c r="K248" s="4" t="s">
        <v>378</v>
      </c>
      <c r="L248" s="4" t="s">
        <v>92</v>
      </c>
      <c r="M248" s="4" t="s">
        <v>656</v>
      </c>
      <c r="N248" s="4">
        <f>64.9/1000</f>
        <v>6.4899999999999999E-2</v>
      </c>
      <c r="O248" s="4" t="s">
        <v>94</v>
      </c>
      <c r="Q248" s="4" t="s">
        <v>94</v>
      </c>
      <c r="R248" s="4" t="s">
        <v>44</v>
      </c>
      <c r="W248" s="4" t="s">
        <v>25</v>
      </c>
      <c r="X248" s="4" t="s">
        <v>1343</v>
      </c>
      <c r="AB248" s="6">
        <v>44720</v>
      </c>
      <c r="AC248" s="6">
        <v>45055</v>
      </c>
      <c r="AD248" s="6">
        <v>44734</v>
      </c>
    </row>
    <row r="249" spans="1:30" x14ac:dyDescent="0.35">
      <c r="A249" s="7" t="s">
        <v>1344</v>
      </c>
      <c r="B249" s="4" t="s">
        <v>1345</v>
      </c>
      <c r="D249" s="4" t="s">
        <v>1346</v>
      </c>
      <c r="E249" s="4" t="s">
        <v>1347</v>
      </c>
      <c r="F249" s="4" t="s">
        <v>151</v>
      </c>
      <c r="G249" s="4" t="s">
        <v>89</v>
      </c>
      <c r="H249" s="4">
        <v>0.45</v>
      </c>
      <c r="I249" s="4" t="s">
        <v>1348</v>
      </c>
      <c r="J249" s="4" t="s">
        <v>8</v>
      </c>
      <c r="K249" s="4" t="s">
        <v>153</v>
      </c>
      <c r="L249" s="4" t="s">
        <v>169</v>
      </c>
      <c r="M249" s="4" t="s">
        <v>154</v>
      </c>
      <c r="O249" s="4" t="s">
        <v>2415</v>
      </c>
      <c r="Q249" s="4" t="s">
        <v>105</v>
      </c>
      <c r="R249" s="4" t="s">
        <v>52</v>
      </c>
      <c r="S249" s="4" t="s">
        <v>44</v>
      </c>
      <c r="W249" s="4" t="s">
        <v>2604</v>
      </c>
      <c r="X249" s="4" t="s">
        <v>1349</v>
      </c>
      <c r="Y249" s="4" t="s">
        <v>2540</v>
      </c>
      <c r="AB249" s="6">
        <v>44720</v>
      </c>
      <c r="AC249" s="6">
        <v>45055</v>
      </c>
      <c r="AD249" s="6">
        <v>44734</v>
      </c>
    </row>
    <row r="250" spans="1:30" x14ac:dyDescent="0.35">
      <c r="A250" s="7" t="s">
        <v>1350</v>
      </c>
      <c r="B250" s="4" t="s">
        <v>1351</v>
      </c>
      <c r="D250" s="4" t="s">
        <v>1352</v>
      </c>
      <c r="E250" s="4" t="s">
        <v>1353</v>
      </c>
      <c r="F250" s="4" t="s">
        <v>151</v>
      </c>
      <c r="G250" s="4" t="s">
        <v>89</v>
      </c>
      <c r="H250" s="4">
        <v>0.3</v>
      </c>
      <c r="I250" s="4" t="s">
        <v>1354</v>
      </c>
      <c r="J250" s="4" t="s">
        <v>8</v>
      </c>
      <c r="K250" s="4" t="s">
        <v>153</v>
      </c>
      <c r="L250" s="4" t="s">
        <v>92</v>
      </c>
      <c r="M250" s="4" t="s">
        <v>154</v>
      </c>
      <c r="N250" s="4">
        <f>0.6304/1000</f>
        <v>6.3039999999999993E-4</v>
      </c>
      <c r="O250" s="4" t="s">
        <v>2415</v>
      </c>
      <c r="Q250" s="4" t="s">
        <v>52</v>
      </c>
      <c r="W250" s="4" t="s">
        <v>2440</v>
      </c>
      <c r="X250" s="4" t="s">
        <v>2459</v>
      </c>
      <c r="Y250" s="4" t="s">
        <v>2441</v>
      </c>
      <c r="Z250" s="4" t="s">
        <v>2566</v>
      </c>
      <c r="AB250" s="6">
        <v>44720</v>
      </c>
      <c r="AC250" s="6">
        <v>45055</v>
      </c>
      <c r="AD250" s="6">
        <v>44734</v>
      </c>
    </row>
    <row r="251" spans="1:30" x14ac:dyDescent="0.35">
      <c r="A251" s="7" t="s">
        <v>1355</v>
      </c>
      <c r="B251" s="4" t="s">
        <v>1356</v>
      </c>
      <c r="D251" s="4" t="s">
        <v>1357</v>
      </c>
      <c r="F251" s="4" t="s">
        <v>110</v>
      </c>
      <c r="G251" s="4" t="s">
        <v>73</v>
      </c>
      <c r="I251" s="4" t="s">
        <v>1358</v>
      </c>
      <c r="K251" s="4" t="s">
        <v>112</v>
      </c>
      <c r="L251" s="4" t="s">
        <v>33</v>
      </c>
      <c r="M251" s="4" t="s">
        <v>33</v>
      </c>
      <c r="N251" s="4">
        <f>10.05/1000</f>
        <v>1.005E-2</v>
      </c>
      <c r="O251" s="4" t="s">
        <v>52</v>
      </c>
      <c r="Q251" s="4" t="s">
        <v>52</v>
      </c>
      <c r="W251" s="4" t="s">
        <v>25</v>
      </c>
      <c r="X251" s="4" t="s">
        <v>1359</v>
      </c>
      <c r="AB251" s="6">
        <v>44720</v>
      </c>
      <c r="AC251" s="6">
        <v>45097</v>
      </c>
      <c r="AD251" s="6">
        <v>45097</v>
      </c>
    </row>
    <row r="252" spans="1:30" x14ac:dyDescent="0.35">
      <c r="A252" s="7" t="s">
        <v>1360</v>
      </c>
      <c r="B252" s="4" t="s">
        <v>1361</v>
      </c>
      <c r="D252" s="4" t="s">
        <v>1362</v>
      </c>
      <c r="F252" s="4" t="s">
        <v>110</v>
      </c>
      <c r="G252" s="4" t="s">
        <v>73</v>
      </c>
      <c r="I252" s="4" t="s">
        <v>1363</v>
      </c>
      <c r="K252" s="4" t="s">
        <v>112</v>
      </c>
      <c r="L252" s="4" t="s">
        <v>33</v>
      </c>
      <c r="M252" s="4" t="s">
        <v>33</v>
      </c>
      <c r="N252" s="4">
        <f>15.46/1000</f>
        <v>1.5460000000000002E-2</v>
      </c>
      <c r="O252" s="4" t="s">
        <v>52</v>
      </c>
      <c r="Q252" s="4" t="s">
        <v>52</v>
      </c>
      <c r="W252" s="4" t="s">
        <v>25</v>
      </c>
      <c r="X252" s="4" t="s">
        <v>1364</v>
      </c>
      <c r="AB252" s="6">
        <v>44720</v>
      </c>
      <c r="AC252" s="6">
        <v>45097</v>
      </c>
      <c r="AD252" s="6">
        <v>45097</v>
      </c>
    </row>
    <row r="253" spans="1:30" x14ac:dyDescent="0.35">
      <c r="A253" s="7" t="s">
        <v>2219</v>
      </c>
      <c r="B253" s="4" t="s">
        <v>1365</v>
      </c>
      <c r="D253" s="4" t="s">
        <v>1366</v>
      </c>
      <c r="E253" s="4" t="s">
        <v>1367</v>
      </c>
      <c r="F253" s="4" t="s">
        <v>110</v>
      </c>
      <c r="G253" s="4" t="s">
        <v>100</v>
      </c>
      <c r="I253" s="4" t="s">
        <v>1368</v>
      </c>
      <c r="K253" s="4" t="s">
        <v>112</v>
      </c>
      <c r="L253" s="4" t="s">
        <v>33</v>
      </c>
      <c r="M253" s="4" t="s">
        <v>33</v>
      </c>
      <c r="O253" s="4" t="s">
        <v>52</v>
      </c>
      <c r="Q253" s="4" t="s">
        <v>52</v>
      </c>
      <c r="W253" s="4" t="s">
        <v>25</v>
      </c>
      <c r="X253" s="4" t="s">
        <v>1369</v>
      </c>
      <c r="AB253" s="6">
        <v>44727</v>
      </c>
      <c r="AC253" s="6">
        <v>45097</v>
      </c>
    </row>
    <row r="254" spans="1:30" x14ac:dyDescent="0.35">
      <c r="A254" s="7" t="s">
        <v>1370</v>
      </c>
      <c r="B254" s="4" t="s">
        <v>1371</v>
      </c>
      <c r="D254" s="4" t="s">
        <v>1372</v>
      </c>
      <c r="F254" s="4" t="s">
        <v>110</v>
      </c>
      <c r="G254" s="4" t="s">
        <v>73</v>
      </c>
      <c r="I254" s="4" t="s">
        <v>1373</v>
      </c>
      <c r="K254" s="4" t="s">
        <v>112</v>
      </c>
      <c r="L254" s="4" t="s">
        <v>33</v>
      </c>
      <c r="M254" s="4" t="s">
        <v>33</v>
      </c>
      <c r="O254" s="4" t="s">
        <v>52</v>
      </c>
      <c r="Q254" s="4" t="s">
        <v>52</v>
      </c>
      <c r="W254" s="4" t="s">
        <v>1374</v>
      </c>
      <c r="AB254" s="6">
        <v>44720</v>
      </c>
      <c r="AC254" s="6">
        <v>45097</v>
      </c>
    </row>
    <row r="255" spans="1:30" x14ac:dyDescent="0.35">
      <c r="A255" s="7" t="s">
        <v>2218</v>
      </c>
      <c r="B255" s="4" t="s">
        <v>1376</v>
      </c>
      <c r="C255" s="4" t="s">
        <v>1375</v>
      </c>
      <c r="D255" s="4" t="s">
        <v>1377</v>
      </c>
      <c r="E255" s="4" t="s">
        <v>1378</v>
      </c>
      <c r="F255" s="4" t="s">
        <v>110</v>
      </c>
      <c r="G255" s="4" t="s">
        <v>73</v>
      </c>
      <c r="K255" s="4" t="s">
        <v>112</v>
      </c>
      <c r="L255" s="4" t="s">
        <v>33</v>
      </c>
      <c r="M255" s="4" t="s">
        <v>33</v>
      </c>
      <c r="AA255" s="4" t="s">
        <v>168</v>
      </c>
      <c r="AB255" s="6"/>
      <c r="AC255" s="6"/>
    </row>
    <row r="256" spans="1:30" x14ac:dyDescent="0.35">
      <c r="A256" s="7" t="s">
        <v>1379</v>
      </c>
      <c r="B256" s="4" t="s">
        <v>1380</v>
      </c>
      <c r="D256" s="4" t="s">
        <v>1366</v>
      </c>
      <c r="E256" s="4" t="s">
        <v>1367</v>
      </c>
      <c r="F256" s="4" t="s">
        <v>110</v>
      </c>
      <c r="G256" s="4" t="s">
        <v>100</v>
      </c>
      <c r="I256" s="4" t="s">
        <v>1381</v>
      </c>
      <c r="K256" s="4" t="s">
        <v>112</v>
      </c>
      <c r="L256" s="4" t="s">
        <v>33</v>
      </c>
      <c r="M256" s="4" t="s">
        <v>33</v>
      </c>
      <c r="O256" s="4" t="s">
        <v>52</v>
      </c>
      <c r="Q256" s="4" t="s">
        <v>52</v>
      </c>
      <c r="W256" s="4" t="s">
        <v>1382</v>
      </c>
      <c r="X256" s="4" t="s">
        <v>1383</v>
      </c>
      <c r="AB256" s="6">
        <v>44720</v>
      </c>
      <c r="AC256" s="6">
        <v>45097</v>
      </c>
    </row>
    <row r="257" spans="1:30" x14ac:dyDescent="0.35">
      <c r="A257" s="7" t="s">
        <v>2220</v>
      </c>
      <c r="B257" s="4" t="s">
        <v>1384</v>
      </c>
      <c r="C257" s="4" t="s">
        <v>1385</v>
      </c>
      <c r="D257" s="4" t="s">
        <v>1366</v>
      </c>
      <c r="F257" s="4" t="s">
        <v>110</v>
      </c>
      <c r="G257" s="4" t="s">
        <v>100</v>
      </c>
      <c r="I257" s="4" t="s">
        <v>1386</v>
      </c>
      <c r="K257" s="4" t="s">
        <v>112</v>
      </c>
      <c r="L257" s="4" t="s">
        <v>33</v>
      </c>
      <c r="M257" s="4" t="s">
        <v>33</v>
      </c>
      <c r="N257" s="4">
        <f>29/1000</f>
        <v>2.9000000000000001E-2</v>
      </c>
      <c r="O257" s="4" t="s">
        <v>52</v>
      </c>
      <c r="Q257" s="4" t="s">
        <v>52</v>
      </c>
      <c r="W257" s="4" t="s">
        <v>2410</v>
      </c>
      <c r="X257" s="4" t="s">
        <v>1387</v>
      </c>
      <c r="Y257" s="4" t="s">
        <v>1388</v>
      </c>
      <c r="AB257" s="6">
        <v>44720</v>
      </c>
      <c r="AC257" s="6">
        <v>45097</v>
      </c>
      <c r="AD257" s="6">
        <v>45097</v>
      </c>
    </row>
    <row r="258" spans="1:30" x14ac:dyDescent="0.35">
      <c r="A258" s="7" t="s">
        <v>1389</v>
      </c>
      <c r="B258" s="4" t="s">
        <v>1390</v>
      </c>
      <c r="C258" s="4" t="s">
        <v>1391</v>
      </c>
      <c r="D258" s="4" t="s">
        <v>1392</v>
      </c>
      <c r="E258" s="4" t="s">
        <v>1393</v>
      </c>
      <c r="G258" s="4" t="s">
        <v>89</v>
      </c>
      <c r="I258" s="4" t="s">
        <v>1394</v>
      </c>
      <c r="J258" s="4" t="s">
        <v>8</v>
      </c>
      <c r="K258" s="4" t="s">
        <v>407</v>
      </c>
      <c r="L258" s="4" t="s">
        <v>92</v>
      </c>
      <c r="M258" s="4" t="s">
        <v>175</v>
      </c>
      <c r="N258" s="4">
        <f>1.5066/1000</f>
        <v>1.5065999999999999E-3</v>
      </c>
      <c r="O258" s="4" t="s">
        <v>35</v>
      </c>
      <c r="Q258" s="4" t="s">
        <v>35</v>
      </c>
      <c r="W258" s="4" t="s">
        <v>176</v>
      </c>
      <c r="Y258" s="4" t="s">
        <v>1395</v>
      </c>
      <c r="AB258" s="6">
        <v>44720</v>
      </c>
      <c r="AC258" s="6">
        <v>45056</v>
      </c>
      <c r="AD258" s="6">
        <v>44734</v>
      </c>
    </row>
    <row r="259" spans="1:30" x14ac:dyDescent="0.35">
      <c r="A259" s="7" t="s">
        <v>1396</v>
      </c>
      <c r="B259" s="4" t="s">
        <v>1397</v>
      </c>
      <c r="D259" s="4" t="s">
        <v>1398</v>
      </c>
      <c r="E259" s="4" t="s">
        <v>1399</v>
      </c>
      <c r="F259" s="4" t="s">
        <v>151</v>
      </c>
      <c r="G259" s="4" t="s">
        <v>89</v>
      </c>
      <c r="H259" s="4">
        <v>2</v>
      </c>
      <c r="I259" s="4" t="s">
        <v>1400</v>
      </c>
      <c r="J259" s="4" t="s">
        <v>8</v>
      </c>
      <c r="K259" s="4" t="s">
        <v>153</v>
      </c>
      <c r="L259" s="4" t="s">
        <v>92</v>
      </c>
      <c r="M259" s="4" t="s">
        <v>841</v>
      </c>
      <c r="N259" s="4">
        <f>0.8/1000</f>
        <v>8.0000000000000004E-4</v>
      </c>
      <c r="O259" s="4" t="s">
        <v>44</v>
      </c>
      <c r="Q259" s="4" t="s">
        <v>44</v>
      </c>
      <c r="R259" s="4" t="s">
        <v>2071</v>
      </c>
      <c r="S259" s="4" t="s">
        <v>105</v>
      </c>
      <c r="T259" s="4" t="s">
        <v>52</v>
      </c>
      <c r="W259" s="4" t="s">
        <v>2605</v>
      </c>
      <c r="X259" s="4" t="s">
        <v>1401</v>
      </c>
      <c r="Y259" s="4" t="s">
        <v>2541</v>
      </c>
      <c r="AB259" s="6">
        <v>44720</v>
      </c>
      <c r="AC259" s="6">
        <v>45056</v>
      </c>
      <c r="AD259" s="6">
        <v>44734</v>
      </c>
    </row>
    <row r="260" spans="1:30" x14ac:dyDescent="0.35">
      <c r="A260" s="7" t="s">
        <v>1402</v>
      </c>
      <c r="B260" s="4" t="s">
        <v>1403</v>
      </c>
      <c r="D260" s="4" t="s">
        <v>1404</v>
      </c>
      <c r="E260" s="4" t="s">
        <v>1405</v>
      </c>
      <c r="G260" s="4" t="s">
        <v>100</v>
      </c>
      <c r="H260" s="4">
        <v>6</v>
      </c>
      <c r="I260" s="4" t="s">
        <v>1406</v>
      </c>
      <c r="K260" s="4" t="s">
        <v>112</v>
      </c>
      <c r="L260" s="4" t="s">
        <v>33</v>
      </c>
      <c r="M260" s="4" t="s">
        <v>33</v>
      </c>
      <c r="N260" s="4">
        <f>1056/1000</f>
        <v>1.056</v>
      </c>
      <c r="O260" s="4" t="s">
        <v>52</v>
      </c>
      <c r="Q260" s="4" t="s">
        <v>52</v>
      </c>
      <c r="W260" s="4" t="s">
        <v>1407</v>
      </c>
      <c r="X260" s="4" t="s">
        <v>1408</v>
      </c>
      <c r="AB260" s="6">
        <v>44720</v>
      </c>
      <c r="AC260" s="6"/>
      <c r="AD260" s="6">
        <v>45097</v>
      </c>
    </row>
    <row r="261" spans="1:30" x14ac:dyDescent="0.35">
      <c r="A261" s="7" t="s">
        <v>2221</v>
      </c>
      <c r="B261" s="4" t="s">
        <v>1409</v>
      </c>
      <c r="C261" s="4" t="s">
        <v>1410</v>
      </c>
      <c r="D261" s="4" t="s">
        <v>1411</v>
      </c>
      <c r="E261" s="4" t="s">
        <v>1412</v>
      </c>
      <c r="F261" s="4" t="s">
        <v>151</v>
      </c>
      <c r="G261" s="4" t="s">
        <v>89</v>
      </c>
      <c r="H261" s="4">
        <v>3</v>
      </c>
      <c r="I261" s="4" t="s">
        <v>1413</v>
      </c>
      <c r="K261" s="4" t="s">
        <v>153</v>
      </c>
      <c r="L261" s="4" t="s">
        <v>169</v>
      </c>
      <c r="M261" s="4" t="s">
        <v>154</v>
      </c>
      <c r="N261" s="4">
        <f>0.1/1000</f>
        <v>1E-4</v>
      </c>
      <c r="O261" s="4" t="s">
        <v>2415</v>
      </c>
      <c r="Q261" s="4" t="s">
        <v>44</v>
      </c>
      <c r="R261" s="4" t="s">
        <v>2071</v>
      </c>
      <c r="S261" s="4" t="s">
        <v>52</v>
      </c>
      <c r="W261" s="4" t="s">
        <v>2606</v>
      </c>
      <c r="X261" s="4" t="s">
        <v>1414</v>
      </c>
      <c r="Y261" s="4" t="s">
        <v>2542</v>
      </c>
      <c r="Z261" s="4" t="s">
        <v>2566</v>
      </c>
      <c r="AB261" s="6">
        <v>44720</v>
      </c>
      <c r="AC261" s="6">
        <v>45084</v>
      </c>
      <c r="AD261" s="6">
        <v>44734</v>
      </c>
    </row>
    <row r="262" spans="1:30" x14ac:dyDescent="0.35">
      <c r="A262" s="7" t="s">
        <v>2222</v>
      </c>
      <c r="B262" s="4" t="s">
        <v>1415</v>
      </c>
      <c r="D262" s="4" t="s">
        <v>1416</v>
      </c>
      <c r="K262" s="4" t="s">
        <v>153</v>
      </c>
      <c r="L262" s="4" t="s">
        <v>92</v>
      </c>
      <c r="AA262" s="4" t="s">
        <v>154</v>
      </c>
      <c r="AB262" s="6">
        <v>44720</v>
      </c>
      <c r="AC262" s="6"/>
    </row>
    <row r="263" spans="1:30" x14ac:dyDescent="0.35">
      <c r="A263" s="7" t="s">
        <v>1417</v>
      </c>
      <c r="B263" s="4" t="s">
        <v>1418</v>
      </c>
      <c r="C263" s="4" t="s">
        <v>2371</v>
      </c>
      <c r="D263" s="4" t="s">
        <v>1419</v>
      </c>
      <c r="E263" s="4" t="s">
        <v>1420</v>
      </c>
      <c r="G263" s="4" t="s">
        <v>73</v>
      </c>
      <c r="H263" s="4">
        <v>2</v>
      </c>
      <c r="I263" s="4" t="s">
        <v>1421</v>
      </c>
      <c r="J263" s="4" t="s">
        <v>8</v>
      </c>
      <c r="K263" s="16" t="s">
        <v>112</v>
      </c>
      <c r="L263" s="17" t="s">
        <v>33</v>
      </c>
      <c r="M263" s="17" t="s">
        <v>33</v>
      </c>
      <c r="N263" s="17">
        <f>5.32/1000</f>
        <v>5.3200000000000001E-3</v>
      </c>
      <c r="O263" s="17" t="s">
        <v>52</v>
      </c>
      <c r="P263" s="17"/>
      <c r="Q263" s="17" t="s">
        <v>52</v>
      </c>
      <c r="W263" s="4" t="s">
        <v>2484</v>
      </c>
      <c r="X263" s="4" t="s">
        <v>1422</v>
      </c>
      <c r="Y263" s="4" t="s">
        <v>2483</v>
      </c>
      <c r="AB263" s="6">
        <v>44720</v>
      </c>
      <c r="AC263" s="6"/>
      <c r="AD263" s="6">
        <v>45097</v>
      </c>
    </row>
    <row r="264" spans="1:30" x14ac:dyDescent="0.35">
      <c r="A264" s="7" t="s">
        <v>1423</v>
      </c>
      <c r="B264" s="4" t="s">
        <v>1424</v>
      </c>
      <c r="C264" s="4" t="s">
        <v>1425</v>
      </c>
      <c r="D264" s="4" t="s">
        <v>1426</v>
      </c>
      <c r="E264" s="4" t="s">
        <v>1427</v>
      </c>
      <c r="G264" s="4" t="s">
        <v>89</v>
      </c>
      <c r="H264" s="4">
        <v>0.1</v>
      </c>
      <c r="I264" s="4" t="s">
        <v>1428</v>
      </c>
      <c r="J264" s="4" t="s">
        <v>8</v>
      </c>
      <c r="K264" s="4" t="s">
        <v>133</v>
      </c>
      <c r="L264" s="4" t="s">
        <v>92</v>
      </c>
      <c r="M264" s="4" t="s">
        <v>134</v>
      </c>
      <c r="N264" s="4">
        <f>0.185/1000</f>
        <v>1.85E-4</v>
      </c>
      <c r="O264" s="4" t="s">
        <v>104</v>
      </c>
      <c r="Q264" s="4" t="s">
        <v>104</v>
      </c>
      <c r="W264" s="4" t="s">
        <v>2608</v>
      </c>
      <c r="X264" s="4" t="s">
        <v>1429</v>
      </c>
      <c r="Y264" s="4" t="s">
        <v>1430</v>
      </c>
      <c r="AB264" s="6">
        <v>44720</v>
      </c>
      <c r="AC264" s="6">
        <v>45056</v>
      </c>
      <c r="AD264" s="6">
        <v>44734</v>
      </c>
    </row>
    <row r="265" spans="1:30" x14ac:dyDescent="0.35">
      <c r="A265" s="7" t="s">
        <v>2340</v>
      </c>
      <c r="B265" s="4" t="s">
        <v>2342</v>
      </c>
      <c r="C265" s="4" t="s">
        <v>2341</v>
      </c>
      <c r="D265" s="4" t="s">
        <v>1431</v>
      </c>
      <c r="E265" s="4" t="s">
        <v>1432</v>
      </c>
      <c r="G265" s="4" t="s">
        <v>89</v>
      </c>
      <c r="H265" s="4">
        <v>0.45</v>
      </c>
      <c r="I265" s="4" t="s">
        <v>2084</v>
      </c>
      <c r="J265" s="4" t="s">
        <v>8</v>
      </c>
      <c r="K265" s="4" t="s">
        <v>133</v>
      </c>
      <c r="L265" s="4" t="s">
        <v>92</v>
      </c>
      <c r="M265" s="4" t="s">
        <v>134</v>
      </c>
      <c r="N265" s="4">
        <f>0.2115385/1000</f>
        <v>2.115385E-4</v>
      </c>
      <c r="O265" s="4" t="s">
        <v>104</v>
      </c>
      <c r="Q265" s="4" t="s">
        <v>104</v>
      </c>
      <c r="W265" s="4" t="s">
        <v>242</v>
      </c>
      <c r="AB265" s="6">
        <v>44720</v>
      </c>
      <c r="AC265" s="6">
        <v>45056</v>
      </c>
      <c r="AD265" s="6">
        <v>44734</v>
      </c>
    </row>
    <row r="266" spans="1:30" x14ac:dyDescent="0.35">
      <c r="A266" s="7" t="s">
        <v>1433</v>
      </c>
      <c r="B266" s="4" t="s">
        <v>1434</v>
      </c>
      <c r="D266" s="4" t="s">
        <v>1435</v>
      </c>
      <c r="E266" s="4" t="s">
        <v>1436</v>
      </c>
      <c r="F266" s="4" t="s">
        <v>30</v>
      </c>
      <c r="G266" s="4" t="s">
        <v>100</v>
      </c>
      <c r="H266" s="4">
        <v>37</v>
      </c>
      <c r="I266" s="4" t="s">
        <v>1437</v>
      </c>
      <c r="K266" s="4" t="s">
        <v>307</v>
      </c>
      <c r="L266" s="4" t="s">
        <v>92</v>
      </c>
      <c r="M266" s="4" t="s">
        <v>103</v>
      </c>
      <c r="N266" s="4">
        <f>4.1/1000</f>
        <v>4.0999999999999995E-3</v>
      </c>
      <c r="O266" s="4" t="s">
        <v>104</v>
      </c>
      <c r="Q266" s="4" t="s">
        <v>104</v>
      </c>
      <c r="V266" s="4" t="s">
        <v>2149</v>
      </c>
      <c r="W266" s="4" t="s">
        <v>2609</v>
      </c>
      <c r="X266" s="4" t="s">
        <v>1438</v>
      </c>
      <c r="Y266" s="4" t="s">
        <v>2403</v>
      </c>
      <c r="AB266" s="6">
        <v>44720</v>
      </c>
      <c r="AC266" s="6">
        <v>45056</v>
      </c>
      <c r="AD266" s="6">
        <v>44734</v>
      </c>
    </row>
    <row r="267" spans="1:30" x14ac:dyDescent="0.35">
      <c r="A267" s="7" t="s">
        <v>1439</v>
      </c>
      <c r="B267" s="4" t="s">
        <v>1440</v>
      </c>
      <c r="D267" s="4" t="s">
        <v>1441</v>
      </c>
      <c r="E267" s="4" t="s">
        <v>1442</v>
      </c>
      <c r="G267" s="4" t="s">
        <v>100</v>
      </c>
      <c r="H267" s="4">
        <v>18</v>
      </c>
      <c r="I267" s="4" t="s">
        <v>1443</v>
      </c>
      <c r="K267" s="4" t="s">
        <v>307</v>
      </c>
      <c r="L267" s="4" t="s">
        <v>92</v>
      </c>
      <c r="M267" s="4" t="s">
        <v>103</v>
      </c>
      <c r="N267" s="4">
        <f>21/1000</f>
        <v>2.1000000000000001E-2</v>
      </c>
      <c r="O267" s="4" t="s">
        <v>104</v>
      </c>
      <c r="Q267" s="4" t="s">
        <v>104</v>
      </c>
      <c r="W267" s="4" t="s">
        <v>2372</v>
      </c>
      <c r="X267" s="4" t="s">
        <v>1444</v>
      </c>
      <c r="Y267" s="4" t="s">
        <v>1445</v>
      </c>
      <c r="AB267" s="6">
        <v>44720</v>
      </c>
      <c r="AC267" s="6">
        <v>45056</v>
      </c>
      <c r="AD267" s="6">
        <v>44734</v>
      </c>
    </row>
    <row r="268" spans="1:30" x14ac:dyDescent="0.35">
      <c r="A268" s="7" t="s">
        <v>2223</v>
      </c>
      <c r="B268" s="4" t="s">
        <v>2100</v>
      </c>
      <c r="D268" s="4" t="s">
        <v>2145</v>
      </c>
      <c r="E268" s="4" t="s">
        <v>2155</v>
      </c>
      <c r="G268" s="4" t="s">
        <v>100</v>
      </c>
      <c r="H268" s="4">
        <v>35</v>
      </c>
      <c r="K268" s="4" t="s">
        <v>307</v>
      </c>
      <c r="L268" s="4" t="s">
        <v>92</v>
      </c>
      <c r="M268" s="4" t="s">
        <v>103</v>
      </c>
      <c r="N268" s="4">
        <f>20.41/1000</f>
        <v>2.0410000000000001E-2</v>
      </c>
      <c r="O268" s="4" t="s">
        <v>104</v>
      </c>
      <c r="Q268" s="4" t="s">
        <v>104</v>
      </c>
      <c r="W268" s="4" t="s">
        <v>2610</v>
      </c>
      <c r="X268" s="4" t="s">
        <v>2148</v>
      </c>
      <c r="Y268" s="4" t="s">
        <v>2146</v>
      </c>
      <c r="AB268" s="6"/>
      <c r="AC268" s="6"/>
      <c r="AD268" s="6">
        <v>45201</v>
      </c>
    </row>
    <row r="269" spans="1:30" x14ac:dyDescent="0.35">
      <c r="A269" s="7" t="s">
        <v>1446</v>
      </c>
      <c r="B269" s="4" t="s">
        <v>1447</v>
      </c>
      <c r="D269" s="4" t="s">
        <v>1448</v>
      </c>
      <c r="E269" s="4" t="s">
        <v>1449</v>
      </c>
      <c r="F269" s="4" t="s">
        <v>30</v>
      </c>
      <c r="G269" s="4" t="s">
        <v>73</v>
      </c>
      <c r="H269" s="4">
        <v>8</v>
      </c>
      <c r="K269" s="4" t="s">
        <v>307</v>
      </c>
      <c r="L269" s="4" t="s">
        <v>92</v>
      </c>
      <c r="M269" s="4" t="s">
        <v>103</v>
      </c>
      <c r="N269" s="4">
        <f>13.7/1000</f>
        <v>1.3699999999999999E-2</v>
      </c>
      <c r="O269" s="4" t="s">
        <v>104</v>
      </c>
      <c r="Q269" s="4" t="s">
        <v>104</v>
      </c>
      <c r="R269" s="4" t="s">
        <v>105</v>
      </c>
      <c r="W269" s="4" t="s">
        <v>2611</v>
      </c>
      <c r="X269" s="4" t="s">
        <v>1450</v>
      </c>
      <c r="Y269" s="4" t="s">
        <v>2373</v>
      </c>
      <c r="Z269" s="4" t="s">
        <v>2612</v>
      </c>
      <c r="AB269" s="6">
        <v>44720</v>
      </c>
      <c r="AC269" s="6">
        <v>45056</v>
      </c>
      <c r="AD269" s="6">
        <v>44734</v>
      </c>
    </row>
    <row r="270" spans="1:30" x14ac:dyDescent="0.35">
      <c r="A270" s="7" t="s">
        <v>1451</v>
      </c>
      <c r="B270" s="4" t="s">
        <v>1452</v>
      </c>
      <c r="D270" s="4" t="s">
        <v>1453</v>
      </c>
      <c r="E270" s="4" t="s">
        <v>1454</v>
      </c>
      <c r="G270" s="4" t="s">
        <v>100</v>
      </c>
      <c r="H270" s="4">
        <v>22</v>
      </c>
      <c r="I270" s="4" t="s">
        <v>1455</v>
      </c>
      <c r="K270" s="4" t="s">
        <v>307</v>
      </c>
      <c r="L270" s="4" t="s">
        <v>92</v>
      </c>
      <c r="M270" s="4" t="s">
        <v>103</v>
      </c>
      <c r="N270" s="4">
        <f>13/1000</f>
        <v>1.2999999999999999E-2</v>
      </c>
      <c r="O270" s="4" t="s">
        <v>104</v>
      </c>
      <c r="Q270" s="4" t="s">
        <v>104</v>
      </c>
      <c r="W270" s="4" t="s">
        <v>2613</v>
      </c>
      <c r="X270" s="4" t="s">
        <v>1456</v>
      </c>
      <c r="Y270" s="4" t="s">
        <v>1457</v>
      </c>
      <c r="AB270" s="6">
        <v>44720</v>
      </c>
      <c r="AC270" s="6">
        <v>45056</v>
      </c>
      <c r="AD270" s="6">
        <v>44734</v>
      </c>
    </row>
    <row r="271" spans="1:30" x14ac:dyDescent="0.35">
      <c r="A271" s="7" t="s">
        <v>1458</v>
      </c>
      <c r="B271" s="4" t="s">
        <v>1459</v>
      </c>
      <c r="D271" s="4" t="s">
        <v>1460</v>
      </c>
      <c r="E271" s="4" t="s">
        <v>1461</v>
      </c>
      <c r="G271" s="4" t="s">
        <v>100</v>
      </c>
      <c r="H271" s="4">
        <v>40</v>
      </c>
      <c r="I271" s="4" t="s">
        <v>1462</v>
      </c>
      <c r="K271" s="4" t="s">
        <v>307</v>
      </c>
      <c r="L271" s="4" t="s">
        <v>92</v>
      </c>
      <c r="M271" s="4" t="s">
        <v>103</v>
      </c>
      <c r="N271" s="4">
        <f>17/1000</f>
        <v>1.7000000000000001E-2</v>
      </c>
      <c r="O271" s="4" t="s">
        <v>104</v>
      </c>
      <c r="Q271" s="4" t="s">
        <v>104</v>
      </c>
      <c r="W271" s="4" t="s">
        <v>2614</v>
      </c>
      <c r="Y271" s="4" t="s">
        <v>2404</v>
      </c>
      <c r="AB271" s="6">
        <v>44720</v>
      </c>
      <c r="AC271" s="6">
        <v>45056</v>
      </c>
      <c r="AD271" s="6">
        <v>44734</v>
      </c>
    </row>
    <row r="272" spans="1:30" x14ac:dyDescent="0.35">
      <c r="A272" s="7" t="s">
        <v>2224</v>
      </c>
      <c r="B272" s="4" t="s">
        <v>1463</v>
      </c>
      <c r="D272" s="4" t="s">
        <v>1464</v>
      </c>
      <c r="E272" s="4" t="s">
        <v>1465</v>
      </c>
      <c r="G272" s="4" t="s">
        <v>100</v>
      </c>
      <c r="H272" s="4">
        <v>33</v>
      </c>
      <c r="I272" s="4" t="s">
        <v>1466</v>
      </c>
      <c r="K272" s="4" t="s">
        <v>307</v>
      </c>
      <c r="L272" s="4" t="s">
        <v>92</v>
      </c>
      <c r="M272" s="4" t="s">
        <v>103</v>
      </c>
      <c r="N272" s="4">
        <f>14/1000</f>
        <v>1.4E-2</v>
      </c>
      <c r="O272" s="4" t="s">
        <v>104</v>
      </c>
      <c r="Q272" s="4" t="s">
        <v>104</v>
      </c>
      <c r="W272" s="4" t="s">
        <v>2322</v>
      </c>
      <c r="X272" s="4" t="s">
        <v>1450</v>
      </c>
      <c r="Y272" s="4" t="s">
        <v>1467</v>
      </c>
      <c r="AB272" s="6">
        <v>44720</v>
      </c>
      <c r="AC272" s="6">
        <v>45056</v>
      </c>
      <c r="AD272" s="6">
        <v>44734</v>
      </c>
    </row>
    <row r="273" spans="1:30" x14ac:dyDescent="0.35">
      <c r="A273" s="7" t="s">
        <v>1468</v>
      </c>
      <c r="B273" s="4" t="s">
        <v>1469</v>
      </c>
      <c r="D273" s="4" t="s">
        <v>1470</v>
      </c>
      <c r="E273" s="4" t="s">
        <v>1461</v>
      </c>
      <c r="G273" s="4" t="s">
        <v>100</v>
      </c>
      <c r="H273" s="4">
        <v>37</v>
      </c>
      <c r="I273" s="4" t="s">
        <v>1471</v>
      </c>
      <c r="K273" s="4" t="s">
        <v>307</v>
      </c>
      <c r="L273" s="4" t="s">
        <v>92</v>
      </c>
      <c r="M273" s="4" t="s">
        <v>103</v>
      </c>
      <c r="N273" s="4">
        <f>47/1000</f>
        <v>4.7E-2</v>
      </c>
      <c r="O273" s="4" t="s">
        <v>104</v>
      </c>
      <c r="Q273" s="4" t="s">
        <v>104</v>
      </c>
      <c r="W273" s="4" t="s">
        <v>2323</v>
      </c>
      <c r="X273" s="4" t="s">
        <v>1438</v>
      </c>
      <c r="Y273" s="4" t="s">
        <v>1467</v>
      </c>
      <c r="AB273" s="6">
        <v>44720</v>
      </c>
      <c r="AC273" s="6">
        <v>45056</v>
      </c>
      <c r="AD273" s="6">
        <v>44734</v>
      </c>
    </row>
    <row r="274" spans="1:30" x14ac:dyDescent="0.35">
      <c r="A274" s="7" t="s">
        <v>2225</v>
      </c>
      <c r="B274" s="4" t="s">
        <v>1472</v>
      </c>
      <c r="D274" s="4" t="s">
        <v>1473</v>
      </c>
      <c r="E274" s="4" t="s">
        <v>1474</v>
      </c>
      <c r="G274" s="4" t="s">
        <v>100</v>
      </c>
      <c r="H274" s="4">
        <v>57</v>
      </c>
      <c r="I274" s="4" t="s">
        <v>1475</v>
      </c>
      <c r="K274" s="4" t="s">
        <v>307</v>
      </c>
      <c r="L274" s="4" t="s">
        <v>92</v>
      </c>
      <c r="M274" s="4" t="s">
        <v>103</v>
      </c>
      <c r="N274" s="4">
        <f>39/1000</f>
        <v>3.9E-2</v>
      </c>
      <c r="O274" s="4" t="s">
        <v>104</v>
      </c>
      <c r="Q274" s="4" t="s">
        <v>104</v>
      </c>
      <c r="W274" s="4" t="s">
        <v>2613</v>
      </c>
      <c r="X274" s="4" t="s">
        <v>1450</v>
      </c>
      <c r="Y274" s="4" t="s">
        <v>1476</v>
      </c>
      <c r="AB274" s="6">
        <v>44720</v>
      </c>
      <c r="AC274" s="6">
        <v>45056</v>
      </c>
      <c r="AD274" s="6">
        <v>44734</v>
      </c>
    </row>
    <row r="275" spans="1:30" x14ac:dyDescent="0.35">
      <c r="A275" s="7" t="s">
        <v>1477</v>
      </c>
      <c r="B275" s="4" t="s">
        <v>1478</v>
      </c>
      <c r="D275" s="4" t="s">
        <v>1479</v>
      </c>
      <c r="E275" s="4" t="s">
        <v>1480</v>
      </c>
      <c r="G275" s="4" t="s">
        <v>100</v>
      </c>
      <c r="H275" s="4">
        <v>44</v>
      </c>
      <c r="I275" s="4" t="s">
        <v>1481</v>
      </c>
      <c r="K275" s="4" t="s">
        <v>307</v>
      </c>
      <c r="L275" s="4" t="s">
        <v>92</v>
      </c>
      <c r="M275" s="4" t="s">
        <v>103</v>
      </c>
      <c r="N275" s="4">
        <f>32/1000</f>
        <v>3.2000000000000001E-2</v>
      </c>
      <c r="O275" s="4" t="s">
        <v>104</v>
      </c>
      <c r="Q275" s="4" t="s">
        <v>104</v>
      </c>
      <c r="W275" s="4" t="s">
        <v>2615</v>
      </c>
      <c r="X275" s="4" t="s">
        <v>1438</v>
      </c>
      <c r="Y275" s="4" t="s">
        <v>1482</v>
      </c>
      <c r="AB275" s="6">
        <v>44720</v>
      </c>
      <c r="AC275" s="6">
        <v>45056</v>
      </c>
      <c r="AD275" s="6">
        <v>44734</v>
      </c>
    </row>
    <row r="276" spans="1:30" x14ac:dyDescent="0.35">
      <c r="A276" s="7" t="s">
        <v>1483</v>
      </c>
      <c r="B276" s="4" t="s">
        <v>1484</v>
      </c>
      <c r="D276" s="4" t="s">
        <v>1485</v>
      </c>
      <c r="E276" s="4" t="s">
        <v>1486</v>
      </c>
      <c r="G276" s="4" t="s">
        <v>100</v>
      </c>
      <c r="H276" s="4">
        <v>50</v>
      </c>
      <c r="I276" s="4" t="s">
        <v>1487</v>
      </c>
      <c r="K276" s="4" t="s">
        <v>307</v>
      </c>
      <c r="L276" s="4" t="s">
        <v>92</v>
      </c>
      <c r="M276" s="4" t="s">
        <v>103</v>
      </c>
      <c r="N276" s="4">
        <f>17/1000</f>
        <v>1.7000000000000001E-2</v>
      </c>
      <c r="O276" s="4" t="s">
        <v>104</v>
      </c>
      <c r="Q276" s="4" t="s">
        <v>104</v>
      </c>
      <c r="R276" s="4" t="s">
        <v>52</v>
      </c>
      <c r="S276" s="4" t="s">
        <v>2088</v>
      </c>
      <c r="W276" s="4" t="s">
        <v>2628</v>
      </c>
      <c r="X276" s="4" t="s">
        <v>1488</v>
      </c>
      <c r="Y276" s="4" t="s">
        <v>2629</v>
      </c>
      <c r="AB276" s="6">
        <v>44720</v>
      </c>
      <c r="AC276" s="6">
        <v>45056</v>
      </c>
      <c r="AD276" s="6">
        <v>44734</v>
      </c>
    </row>
    <row r="277" spans="1:30" x14ac:dyDescent="0.35">
      <c r="A277" s="7" t="s">
        <v>1489</v>
      </c>
      <c r="B277" s="4" t="s">
        <v>1490</v>
      </c>
      <c r="D277" s="4" t="s">
        <v>1491</v>
      </c>
      <c r="E277" s="4" t="s">
        <v>1492</v>
      </c>
      <c r="G277" s="4" t="s">
        <v>100</v>
      </c>
      <c r="H277" s="4">
        <v>33</v>
      </c>
      <c r="I277" s="4" t="s">
        <v>1493</v>
      </c>
      <c r="K277" s="4" t="s">
        <v>307</v>
      </c>
      <c r="L277" s="4" t="s">
        <v>92</v>
      </c>
      <c r="M277" s="4" t="s">
        <v>103</v>
      </c>
      <c r="N277" s="4">
        <f>6/1000</f>
        <v>6.0000000000000001E-3</v>
      </c>
      <c r="O277" s="4" t="s">
        <v>104</v>
      </c>
      <c r="Q277" s="4" t="s">
        <v>104</v>
      </c>
      <c r="R277" s="4" t="s">
        <v>105</v>
      </c>
      <c r="W277" s="4" t="s">
        <v>2616</v>
      </c>
      <c r="X277" s="4" t="s">
        <v>1450</v>
      </c>
      <c r="Y277" s="4" t="s">
        <v>1494</v>
      </c>
      <c r="AB277" s="6">
        <v>44720</v>
      </c>
      <c r="AC277" s="6">
        <v>45056</v>
      </c>
      <c r="AD277" s="6">
        <v>44734</v>
      </c>
    </row>
    <row r="278" spans="1:30" x14ac:dyDescent="0.35">
      <c r="A278" s="7" t="s">
        <v>2226</v>
      </c>
      <c r="B278" s="4" t="s">
        <v>2101</v>
      </c>
      <c r="D278" s="4" t="s">
        <v>2147</v>
      </c>
      <c r="E278" s="4" t="s">
        <v>2150</v>
      </c>
      <c r="G278" s="4" t="s">
        <v>100</v>
      </c>
      <c r="H278" s="4">
        <v>15</v>
      </c>
      <c r="K278" s="4" t="s">
        <v>307</v>
      </c>
      <c r="L278" s="4" t="s">
        <v>92</v>
      </c>
      <c r="M278" s="4" t="s">
        <v>103</v>
      </c>
      <c r="N278" s="4">
        <f>13.83/1000</f>
        <v>1.383E-2</v>
      </c>
      <c r="O278" s="4" t="s">
        <v>104</v>
      </c>
      <c r="Q278" s="4" t="s">
        <v>104</v>
      </c>
      <c r="Z278" s="4" t="s">
        <v>2566</v>
      </c>
      <c r="AB278" s="6"/>
      <c r="AC278" s="6"/>
      <c r="AD278" s="6">
        <v>45201</v>
      </c>
    </row>
    <row r="279" spans="1:30" x14ac:dyDescent="0.35">
      <c r="A279" s="7" t="s">
        <v>1495</v>
      </c>
      <c r="B279" s="4" t="s">
        <v>1496</v>
      </c>
      <c r="D279" s="4" t="s">
        <v>1497</v>
      </c>
      <c r="E279" s="4" t="s">
        <v>1498</v>
      </c>
      <c r="G279" s="4" t="s">
        <v>100</v>
      </c>
      <c r="H279" s="4">
        <v>5</v>
      </c>
      <c r="K279" s="4" t="s">
        <v>307</v>
      </c>
      <c r="L279" s="4" t="s">
        <v>92</v>
      </c>
      <c r="M279" s="4" t="s">
        <v>103</v>
      </c>
      <c r="N279" s="4">
        <f>7.94/1000</f>
        <v>7.9400000000000009E-3</v>
      </c>
      <c r="O279" s="4" t="s">
        <v>104</v>
      </c>
      <c r="Q279" s="4" t="s">
        <v>104</v>
      </c>
      <c r="V279" s="4" t="s">
        <v>1499</v>
      </c>
      <c r="W279" s="4" t="s">
        <v>2374</v>
      </c>
      <c r="Y279" s="4" t="s">
        <v>2375</v>
      </c>
      <c r="AB279" s="6">
        <v>44720</v>
      </c>
      <c r="AC279" s="6"/>
      <c r="AD279" s="6">
        <v>44734</v>
      </c>
    </row>
    <row r="280" spans="1:30" x14ac:dyDescent="0.35">
      <c r="A280" s="7" t="s">
        <v>1500</v>
      </c>
      <c r="B280" s="4" t="s">
        <v>1501</v>
      </c>
      <c r="D280" s="4" t="s">
        <v>1502</v>
      </c>
      <c r="E280" s="4" t="s">
        <v>1503</v>
      </c>
      <c r="G280" s="4" t="s">
        <v>100</v>
      </c>
      <c r="H280" s="4">
        <v>14</v>
      </c>
      <c r="I280" s="4" t="s">
        <v>1504</v>
      </c>
      <c r="K280" s="4" t="s">
        <v>91</v>
      </c>
      <c r="L280" s="4" t="s">
        <v>33</v>
      </c>
      <c r="M280" s="4" t="s">
        <v>1505</v>
      </c>
      <c r="N280" s="4">
        <f>8.35/1000</f>
        <v>8.3499999999999998E-3</v>
      </c>
      <c r="O280" s="4" t="s">
        <v>52</v>
      </c>
      <c r="Q280" s="4" t="s">
        <v>52</v>
      </c>
      <c r="W280" s="4" t="s">
        <v>1506</v>
      </c>
      <c r="X280" s="4" t="s">
        <v>1507</v>
      </c>
      <c r="Y280" s="4" t="s">
        <v>1508</v>
      </c>
      <c r="AB280" s="6">
        <v>44720</v>
      </c>
      <c r="AC280" s="6"/>
      <c r="AD280" s="6">
        <v>45097</v>
      </c>
    </row>
    <row r="281" spans="1:30" x14ac:dyDescent="0.35">
      <c r="A281" s="7" t="s">
        <v>1509</v>
      </c>
      <c r="B281" s="4" t="s">
        <v>1510</v>
      </c>
      <c r="D281" s="4" t="s">
        <v>1511</v>
      </c>
      <c r="E281" s="4" t="s">
        <v>1512</v>
      </c>
      <c r="G281" s="4" t="s">
        <v>89</v>
      </c>
      <c r="H281" s="4">
        <v>0.3</v>
      </c>
      <c r="I281" s="4" t="s">
        <v>1513</v>
      </c>
      <c r="J281" s="4" t="s">
        <v>8</v>
      </c>
      <c r="K281" s="4" t="s">
        <v>722</v>
      </c>
      <c r="L281" s="4" t="s">
        <v>92</v>
      </c>
      <c r="M281" s="4" t="s">
        <v>154</v>
      </c>
      <c r="N281" s="4">
        <f>0.5307692/1000</f>
        <v>5.3076920000000001E-4</v>
      </c>
      <c r="O281" s="4" t="s">
        <v>2415</v>
      </c>
      <c r="Q281" s="4" t="s">
        <v>292</v>
      </c>
      <c r="X281" s="4" t="s">
        <v>1514</v>
      </c>
      <c r="Y281" s="4" t="s">
        <v>1515</v>
      </c>
      <c r="Z281" s="4" t="s">
        <v>2566</v>
      </c>
      <c r="AB281" s="6">
        <v>44720</v>
      </c>
      <c r="AC281" s="6">
        <v>45056</v>
      </c>
      <c r="AD281" s="6">
        <v>44734</v>
      </c>
    </row>
    <row r="282" spans="1:30" x14ac:dyDescent="0.35">
      <c r="A282" s="7" t="s">
        <v>1516</v>
      </c>
      <c r="B282" s="4" t="s">
        <v>1517</v>
      </c>
      <c r="D282" s="4" t="s">
        <v>1518</v>
      </c>
      <c r="E282" s="4" t="s">
        <v>1519</v>
      </c>
      <c r="G282" s="4" t="s">
        <v>73</v>
      </c>
      <c r="H282" s="4">
        <v>2.9</v>
      </c>
      <c r="I282" s="4" t="s">
        <v>1520</v>
      </c>
      <c r="K282" s="4" t="s">
        <v>722</v>
      </c>
      <c r="L282" s="4" t="s">
        <v>92</v>
      </c>
      <c r="M282" s="4" t="s">
        <v>154</v>
      </c>
      <c r="O282" s="4" t="s">
        <v>2415</v>
      </c>
      <c r="Q282" s="4" t="s">
        <v>292</v>
      </c>
      <c r="W282" s="4" t="s">
        <v>118</v>
      </c>
      <c r="X282" s="4" t="s">
        <v>1521</v>
      </c>
      <c r="AB282" s="6">
        <v>44720</v>
      </c>
      <c r="AC282" s="6">
        <v>45057</v>
      </c>
    </row>
    <row r="283" spans="1:30" x14ac:dyDescent="0.35">
      <c r="A283" s="7" t="s">
        <v>1522</v>
      </c>
      <c r="B283" s="4" t="s">
        <v>1523</v>
      </c>
      <c r="D283" s="4" t="s">
        <v>1524</v>
      </c>
      <c r="F283" s="4" t="s">
        <v>151</v>
      </c>
      <c r="G283" s="4" t="s">
        <v>89</v>
      </c>
      <c r="H283" s="4">
        <v>0.35</v>
      </c>
      <c r="I283" s="4" t="s">
        <v>1525</v>
      </c>
      <c r="K283" s="4" t="s">
        <v>153</v>
      </c>
      <c r="L283" s="4" t="s">
        <v>92</v>
      </c>
      <c r="M283" s="4" t="s">
        <v>154</v>
      </c>
      <c r="N283" s="4">
        <f>0.3/1000</f>
        <v>2.9999999999999997E-4</v>
      </c>
      <c r="O283" s="4" t="s">
        <v>2415</v>
      </c>
      <c r="Q283" s="4" t="s">
        <v>105</v>
      </c>
      <c r="R283" s="4" t="s">
        <v>52</v>
      </c>
      <c r="S283" s="4" t="s">
        <v>2071</v>
      </c>
      <c r="T283" s="4" t="s">
        <v>44</v>
      </c>
      <c r="U283" s="4" t="s">
        <v>2088</v>
      </c>
      <c r="W283" s="4" t="s">
        <v>2626</v>
      </c>
      <c r="X283" s="4" t="s">
        <v>2474</v>
      </c>
      <c r="Y283" s="4" t="s">
        <v>2627</v>
      </c>
      <c r="AB283" s="6">
        <v>44720</v>
      </c>
      <c r="AC283" s="6"/>
      <c r="AD283" s="6">
        <v>44734</v>
      </c>
    </row>
    <row r="284" spans="1:30" x14ac:dyDescent="0.35">
      <c r="A284" s="7" t="s">
        <v>1526</v>
      </c>
      <c r="B284" s="4" t="s">
        <v>1527</v>
      </c>
      <c r="D284" s="4" t="s">
        <v>1528</v>
      </c>
      <c r="E284" s="4" t="s">
        <v>1529</v>
      </c>
      <c r="G284" s="4" t="s">
        <v>73</v>
      </c>
      <c r="H284" s="4">
        <v>2</v>
      </c>
      <c r="I284" s="4" t="s">
        <v>1530</v>
      </c>
      <c r="K284" s="4" t="s">
        <v>91</v>
      </c>
      <c r="L284" s="4" t="s">
        <v>92</v>
      </c>
      <c r="M284" s="4" t="s">
        <v>34</v>
      </c>
      <c r="N284" s="4">
        <f>9.65/1000</f>
        <v>9.6500000000000006E-3</v>
      </c>
      <c r="O284" s="4" t="s">
        <v>35</v>
      </c>
      <c r="Q284" s="4" t="s">
        <v>35</v>
      </c>
      <c r="R284" s="4" t="s">
        <v>2071</v>
      </c>
      <c r="S284" s="4" t="s">
        <v>44</v>
      </c>
      <c r="W284" s="4" t="s">
        <v>2289</v>
      </c>
      <c r="X284" s="4" t="s">
        <v>1531</v>
      </c>
      <c r="Y284" s="4" t="s">
        <v>1532</v>
      </c>
      <c r="AB284" s="6">
        <v>44720</v>
      </c>
      <c r="AC284" s="6">
        <v>45057</v>
      </c>
      <c r="AD284" s="6">
        <v>45057</v>
      </c>
    </row>
    <row r="285" spans="1:30" x14ac:dyDescent="0.35">
      <c r="A285" s="7" t="s">
        <v>1533</v>
      </c>
      <c r="B285" s="4" t="s">
        <v>1534</v>
      </c>
      <c r="L285" s="4" t="s">
        <v>297</v>
      </c>
      <c r="AB285" s="6">
        <v>44720</v>
      </c>
      <c r="AC285" s="6"/>
    </row>
    <row r="286" spans="1:30" x14ac:dyDescent="0.35">
      <c r="A286" s="7" t="s">
        <v>1535</v>
      </c>
      <c r="B286" s="4" t="s">
        <v>1536</v>
      </c>
      <c r="D286" s="4" t="s">
        <v>1537</v>
      </c>
      <c r="G286" s="4" t="s">
        <v>73</v>
      </c>
      <c r="H286" s="4">
        <v>3</v>
      </c>
      <c r="K286" s="4" t="s">
        <v>1538</v>
      </c>
      <c r="L286" s="4" t="s">
        <v>33</v>
      </c>
      <c r="M286" s="4" t="s">
        <v>34</v>
      </c>
      <c r="N286" s="4">
        <f>0.779/1000</f>
        <v>7.7900000000000007E-4</v>
      </c>
      <c r="O286" s="4" t="s">
        <v>35</v>
      </c>
      <c r="Q286" s="4" t="s">
        <v>35</v>
      </c>
      <c r="W286" s="4" t="s">
        <v>2643</v>
      </c>
      <c r="Y286" s="4" t="s">
        <v>2644</v>
      </c>
      <c r="AB286" s="6">
        <v>44727</v>
      </c>
      <c r="AC286" s="6"/>
      <c r="AD286" s="6">
        <v>44734</v>
      </c>
    </row>
    <row r="287" spans="1:30" x14ac:dyDescent="0.35">
      <c r="A287" s="7" t="s">
        <v>1539</v>
      </c>
      <c r="B287" s="4" t="s">
        <v>1540</v>
      </c>
      <c r="D287" s="4" t="s">
        <v>1541</v>
      </c>
      <c r="E287" s="4" t="s">
        <v>1542</v>
      </c>
      <c r="G287" s="4" t="s">
        <v>100</v>
      </c>
      <c r="H287" s="4">
        <v>25</v>
      </c>
      <c r="I287" s="4" t="s">
        <v>1543</v>
      </c>
      <c r="J287" s="4" t="s">
        <v>8</v>
      </c>
      <c r="K287" s="4" t="s">
        <v>91</v>
      </c>
      <c r="L287" s="4" t="s">
        <v>92</v>
      </c>
      <c r="M287" s="4" t="s">
        <v>154</v>
      </c>
      <c r="N287" s="4">
        <f>0.32/1000</f>
        <v>3.2000000000000003E-4</v>
      </c>
      <c r="O287" s="4" t="s">
        <v>2415</v>
      </c>
      <c r="Q287" s="4" t="s">
        <v>2071</v>
      </c>
      <c r="R287" s="4" t="s">
        <v>44</v>
      </c>
      <c r="W287" s="4" t="s">
        <v>1544</v>
      </c>
      <c r="Y287" s="4" t="s">
        <v>2405</v>
      </c>
      <c r="Z287" s="4" t="s">
        <v>2566</v>
      </c>
      <c r="AB287" s="6">
        <v>44720</v>
      </c>
      <c r="AC287" s="6"/>
      <c r="AD287" s="6">
        <v>44734</v>
      </c>
    </row>
    <row r="288" spans="1:30" x14ac:dyDescent="0.35">
      <c r="A288" s="7" t="s">
        <v>1545</v>
      </c>
      <c r="B288" s="4" t="s">
        <v>1546</v>
      </c>
      <c r="D288" s="4" t="s">
        <v>1547</v>
      </c>
      <c r="E288" s="4" t="s">
        <v>2343</v>
      </c>
      <c r="G288" s="4" t="s">
        <v>89</v>
      </c>
      <c r="H288" s="4">
        <v>0.05</v>
      </c>
      <c r="I288" s="4" t="s">
        <v>1548</v>
      </c>
      <c r="J288" s="4" t="s">
        <v>8</v>
      </c>
      <c r="K288" s="4" t="s">
        <v>133</v>
      </c>
      <c r="L288" s="4" t="s">
        <v>169</v>
      </c>
      <c r="M288" s="4" t="s">
        <v>154</v>
      </c>
      <c r="N288" s="4">
        <f>2.5/1000</f>
        <v>2.5000000000000001E-3</v>
      </c>
      <c r="O288" s="4" t="s">
        <v>2415</v>
      </c>
      <c r="Q288" s="4" t="s">
        <v>52</v>
      </c>
      <c r="W288" s="4" t="s">
        <v>2440</v>
      </c>
      <c r="X288" s="4" t="s">
        <v>1549</v>
      </c>
      <c r="Y288" s="4" t="s">
        <v>2460</v>
      </c>
      <c r="Z288" s="4" t="s">
        <v>2566</v>
      </c>
      <c r="AB288" s="6">
        <v>44720</v>
      </c>
      <c r="AC288" s="6">
        <v>45057</v>
      </c>
    </row>
    <row r="289" spans="1:30" x14ac:dyDescent="0.35">
      <c r="A289" s="7" t="s">
        <v>1550</v>
      </c>
      <c r="B289" s="4" t="s">
        <v>1551</v>
      </c>
      <c r="D289" s="4" t="s">
        <v>1552</v>
      </c>
      <c r="E289" s="4" t="s">
        <v>1553</v>
      </c>
      <c r="G289" s="4" t="s">
        <v>100</v>
      </c>
      <c r="H289" s="4">
        <v>12</v>
      </c>
      <c r="I289" s="4" t="s">
        <v>1554</v>
      </c>
      <c r="K289" s="4" t="s">
        <v>571</v>
      </c>
      <c r="L289" s="4" t="s">
        <v>33</v>
      </c>
      <c r="M289" s="4" t="s">
        <v>33</v>
      </c>
      <c r="N289" s="4">
        <f>183.08/1000</f>
        <v>0.18308000000000002</v>
      </c>
      <c r="O289" s="4" t="s">
        <v>52</v>
      </c>
      <c r="Q289" s="4" t="s">
        <v>52</v>
      </c>
      <c r="W289" s="4" t="s">
        <v>2376</v>
      </c>
      <c r="X289" s="4" t="s">
        <v>2377</v>
      </c>
      <c r="Y289" s="4" t="s">
        <v>1555</v>
      </c>
      <c r="AB289" s="6">
        <v>44720</v>
      </c>
      <c r="AC289" s="6">
        <v>45098</v>
      </c>
      <c r="AD289" s="6">
        <v>45098</v>
      </c>
    </row>
    <row r="290" spans="1:30" x14ac:dyDescent="0.35">
      <c r="A290" s="7" t="s">
        <v>1556</v>
      </c>
      <c r="B290" s="4" t="s">
        <v>1557</v>
      </c>
      <c r="D290" s="4" t="s">
        <v>1558</v>
      </c>
      <c r="E290" s="4" t="s">
        <v>1559</v>
      </c>
      <c r="G290" s="4" t="s">
        <v>100</v>
      </c>
      <c r="H290" s="4">
        <v>8</v>
      </c>
      <c r="I290" s="4" t="s">
        <v>1560</v>
      </c>
      <c r="K290" s="4" t="s">
        <v>571</v>
      </c>
      <c r="L290" s="4" t="s">
        <v>33</v>
      </c>
      <c r="M290" s="4" t="s">
        <v>33</v>
      </c>
      <c r="O290" s="4" t="s">
        <v>52</v>
      </c>
      <c r="Q290" s="4" t="s">
        <v>52</v>
      </c>
      <c r="W290" s="4" t="s">
        <v>657</v>
      </c>
      <c r="X290" s="4" t="s">
        <v>1561</v>
      </c>
      <c r="AB290" s="6">
        <v>44720</v>
      </c>
      <c r="AC290" s="6"/>
    </row>
    <row r="291" spans="1:30" x14ac:dyDescent="0.35">
      <c r="A291" s="7" t="s">
        <v>1562</v>
      </c>
      <c r="B291" s="4" t="s">
        <v>1563</v>
      </c>
      <c r="C291" s="4" t="s">
        <v>1564</v>
      </c>
      <c r="D291" s="4" t="s">
        <v>1565</v>
      </c>
      <c r="E291" s="4" t="s">
        <v>1566</v>
      </c>
      <c r="G291" s="4" t="s">
        <v>100</v>
      </c>
      <c r="H291" s="4">
        <v>6</v>
      </c>
      <c r="I291" s="4" t="s">
        <v>1567</v>
      </c>
      <c r="J291" s="4" t="s">
        <v>8</v>
      </c>
      <c r="K291" s="4" t="s">
        <v>571</v>
      </c>
      <c r="L291" s="4" t="s">
        <v>33</v>
      </c>
      <c r="M291" s="4" t="s">
        <v>33</v>
      </c>
      <c r="N291" s="4">
        <f>704.17/1000</f>
        <v>0.70416999999999996</v>
      </c>
      <c r="O291" s="4" t="s">
        <v>52</v>
      </c>
      <c r="Q291" s="4" t="s">
        <v>52</v>
      </c>
      <c r="W291" s="4" t="s">
        <v>2378</v>
      </c>
      <c r="Y291" s="4" t="s">
        <v>1568</v>
      </c>
      <c r="AB291" s="6">
        <v>44720</v>
      </c>
      <c r="AC291" s="6">
        <v>45098</v>
      </c>
      <c r="AD291" s="6">
        <v>45098</v>
      </c>
    </row>
    <row r="292" spans="1:30" x14ac:dyDescent="0.35">
      <c r="A292" s="7" t="s">
        <v>1569</v>
      </c>
      <c r="B292" s="4" t="s">
        <v>1570</v>
      </c>
      <c r="D292" s="4" t="s">
        <v>1571</v>
      </c>
      <c r="E292" s="4" t="s">
        <v>1572</v>
      </c>
      <c r="F292" s="4" t="s">
        <v>30</v>
      </c>
      <c r="G292" s="4" t="s">
        <v>73</v>
      </c>
      <c r="H292" s="4">
        <v>10</v>
      </c>
      <c r="I292" s="4" t="s">
        <v>1573</v>
      </c>
      <c r="J292" s="4" t="s">
        <v>8</v>
      </c>
      <c r="K292" s="4" t="s">
        <v>571</v>
      </c>
      <c r="L292" s="4" t="s">
        <v>33</v>
      </c>
      <c r="M292" s="4" t="s">
        <v>33</v>
      </c>
      <c r="N292" s="4">
        <f>267.3/1000</f>
        <v>0.26730000000000004</v>
      </c>
      <c r="O292" s="4" t="s">
        <v>52</v>
      </c>
      <c r="Q292" s="4" t="s">
        <v>52</v>
      </c>
      <c r="W292" s="4" t="s">
        <v>1574</v>
      </c>
      <c r="X292" s="4" t="s">
        <v>869</v>
      </c>
      <c r="AB292" s="6">
        <v>44720</v>
      </c>
      <c r="AC292" s="6">
        <v>45098</v>
      </c>
      <c r="AD292" s="6">
        <v>45098</v>
      </c>
    </row>
    <row r="293" spans="1:30" x14ac:dyDescent="0.35">
      <c r="A293" s="7" t="s">
        <v>2227</v>
      </c>
      <c r="B293" s="4" t="s">
        <v>2102</v>
      </c>
      <c r="D293" s="4" t="s">
        <v>2151</v>
      </c>
      <c r="E293" s="4" t="s">
        <v>2152</v>
      </c>
      <c r="F293" s="4" t="s">
        <v>30</v>
      </c>
      <c r="G293" s="4" t="s">
        <v>73</v>
      </c>
      <c r="H293" s="4">
        <v>7</v>
      </c>
      <c r="I293" s="4" t="s">
        <v>2153</v>
      </c>
      <c r="K293" s="4" t="s">
        <v>571</v>
      </c>
      <c r="L293" s="4" t="s">
        <v>33</v>
      </c>
      <c r="M293" s="4" t="s">
        <v>33</v>
      </c>
      <c r="N293" s="4">
        <f>42.71/1000</f>
        <v>4.2709999999999998E-2</v>
      </c>
      <c r="O293" s="4" t="s">
        <v>52</v>
      </c>
      <c r="Q293" s="4" t="s">
        <v>52</v>
      </c>
      <c r="W293" s="4" t="s">
        <v>657</v>
      </c>
      <c r="X293" s="4" t="s">
        <v>2154</v>
      </c>
      <c r="AB293" s="6"/>
      <c r="AC293" s="6"/>
      <c r="AD293" s="6">
        <v>45202</v>
      </c>
    </row>
    <row r="294" spans="1:30" x14ac:dyDescent="0.35">
      <c r="A294" s="7" t="s">
        <v>1575</v>
      </c>
      <c r="B294" s="4" t="s">
        <v>1576</v>
      </c>
      <c r="D294" s="4" t="s">
        <v>1577</v>
      </c>
      <c r="E294" s="4" t="s">
        <v>1578</v>
      </c>
      <c r="G294" s="4" t="s">
        <v>100</v>
      </c>
      <c r="H294" s="4">
        <v>15</v>
      </c>
      <c r="K294" s="4" t="s">
        <v>571</v>
      </c>
      <c r="L294" s="4" t="s">
        <v>33</v>
      </c>
      <c r="M294" s="4" t="s">
        <v>33</v>
      </c>
      <c r="N294" s="4">
        <f>83.9/1000</f>
        <v>8.3900000000000002E-2</v>
      </c>
      <c r="O294" s="4" t="s">
        <v>52</v>
      </c>
      <c r="Q294" s="4" t="s">
        <v>52</v>
      </c>
      <c r="W294" s="4" t="s">
        <v>1579</v>
      </c>
      <c r="Y294" s="4" t="s">
        <v>1580</v>
      </c>
      <c r="AB294" s="6">
        <v>44720</v>
      </c>
      <c r="AC294" s="6"/>
      <c r="AD294" s="6">
        <v>45098</v>
      </c>
    </row>
    <row r="295" spans="1:30" x14ac:dyDescent="0.35">
      <c r="A295" s="7" t="s">
        <v>1581</v>
      </c>
      <c r="B295" s="4" t="s">
        <v>1582</v>
      </c>
      <c r="D295" s="4" t="s">
        <v>1583</v>
      </c>
      <c r="E295" s="4" t="s">
        <v>1584</v>
      </c>
      <c r="G295" s="4" t="s">
        <v>100</v>
      </c>
      <c r="H295" s="4">
        <v>12</v>
      </c>
      <c r="I295" s="4" t="s">
        <v>1585</v>
      </c>
      <c r="K295" s="4" t="s">
        <v>571</v>
      </c>
      <c r="L295" s="4" t="s">
        <v>33</v>
      </c>
      <c r="M295" s="4" t="s">
        <v>33</v>
      </c>
      <c r="N295" s="4">
        <f>52.91/1000</f>
        <v>5.2909999999999999E-2</v>
      </c>
      <c r="O295" s="4" t="s">
        <v>52</v>
      </c>
      <c r="Q295" s="4" t="s">
        <v>52</v>
      </c>
      <c r="W295" s="4" t="s">
        <v>118</v>
      </c>
      <c r="X295" s="4" t="s">
        <v>1586</v>
      </c>
      <c r="AB295" s="6">
        <v>44720</v>
      </c>
      <c r="AC295" s="6"/>
      <c r="AD295" s="6">
        <v>45098</v>
      </c>
    </row>
    <row r="296" spans="1:30" x14ac:dyDescent="0.35">
      <c r="A296" s="7" t="s">
        <v>2228</v>
      </c>
      <c r="B296" s="4" t="s">
        <v>1587</v>
      </c>
      <c r="D296" s="4" t="s">
        <v>1588</v>
      </c>
      <c r="E296" s="4" t="s">
        <v>1589</v>
      </c>
      <c r="H296" s="4">
        <v>5</v>
      </c>
      <c r="I296" s="4" t="s">
        <v>1590</v>
      </c>
      <c r="J296" s="4" t="s">
        <v>8</v>
      </c>
      <c r="K296" s="4" t="s">
        <v>153</v>
      </c>
      <c r="L296" s="4" t="s">
        <v>92</v>
      </c>
      <c r="AA296" s="4" t="s">
        <v>168</v>
      </c>
      <c r="AB296" s="6">
        <v>44720</v>
      </c>
      <c r="AC296" s="6">
        <v>45057</v>
      </c>
    </row>
    <row r="297" spans="1:30" x14ac:dyDescent="0.35">
      <c r="A297" s="7" t="s">
        <v>1591</v>
      </c>
      <c r="B297" s="4" t="s">
        <v>1592</v>
      </c>
      <c r="D297" s="4" t="s">
        <v>1593</v>
      </c>
      <c r="E297" s="4" t="s">
        <v>1594</v>
      </c>
      <c r="G297" s="4" t="s">
        <v>100</v>
      </c>
      <c r="H297" s="4">
        <v>60</v>
      </c>
      <c r="I297" s="4" t="s">
        <v>1595</v>
      </c>
      <c r="K297" s="4" t="s">
        <v>307</v>
      </c>
      <c r="L297" s="4" t="s">
        <v>92</v>
      </c>
      <c r="M297" s="4" t="s">
        <v>103</v>
      </c>
      <c r="N297" s="4">
        <f>10.7/1000</f>
        <v>1.0699999999999999E-2</v>
      </c>
      <c r="O297" s="4" t="s">
        <v>104</v>
      </c>
      <c r="Q297" s="4" t="s">
        <v>104</v>
      </c>
      <c r="W297" s="4" t="s">
        <v>2597</v>
      </c>
      <c r="X297" s="4" t="s">
        <v>1596</v>
      </c>
      <c r="Y297" s="4" t="s">
        <v>1597</v>
      </c>
      <c r="AB297" s="6">
        <v>44720</v>
      </c>
      <c r="AC297" s="6">
        <v>45057</v>
      </c>
      <c r="AD297" s="6">
        <v>44734</v>
      </c>
    </row>
    <row r="298" spans="1:30" x14ac:dyDescent="0.35">
      <c r="A298" s="7" t="s">
        <v>2229</v>
      </c>
      <c r="B298" s="4" t="s">
        <v>1598</v>
      </c>
      <c r="C298" s="4" t="s">
        <v>1599</v>
      </c>
      <c r="D298" s="4" t="s">
        <v>1600</v>
      </c>
      <c r="E298" s="4" t="s">
        <v>1601</v>
      </c>
      <c r="F298" s="4" t="s">
        <v>30</v>
      </c>
      <c r="G298" s="4" t="s">
        <v>73</v>
      </c>
      <c r="H298" s="4">
        <v>6</v>
      </c>
      <c r="I298" s="4" t="s">
        <v>1602</v>
      </c>
      <c r="K298" s="4" t="s">
        <v>847</v>
      </c>
      <c r="L298" s="4" t="s">
        <v>33</v>
      </c>
      <c r="M298" s="4" t="s">
        <v>33</v>
      </c>
      <c r="O298" s="4" t="s">
        <v>52</v>
      </c>
      <c r="Q298" s="4" t="s">
        <v>52</v>
      </c>
      <c r="W298" s="4" t="s">
        <v>2501</v>
      </c>
      <c r="X298" s="4" t="s">
        <v>2379</v>
      </c>
      <c r="Y298" s="4" t="s">
        <v>2500</v>
      </c>
      <c r="AB298" s="6">
        <v>44720</v>
      </c>
      <c r="AC298" s="6"/>
    </row>
    <row r="299" spans="1:30" x14ac:dyDescent="0.35">
      <c r="A299" s="7" t="s">
        <v>1603</v>
      </c>
      <c r="B299" s="4" t="s">
        <v>1604</v>
      </c>
      <c r="D299" s="4" t="s">
        <v>1605</v>
      </c>
      <c r="E299" s="4" t="s">
        <v>1606</v>
      </c>
      <c r="F299" s="4" t="s">
        <v>30</v>
      </c>
      <c r="G299" s="4" t="s">
        <v>73</v>
      </c>
      <c r="H299" s="4">
        <v>3</v>
      </c>
      <c r="I299" s="4" t="s">
        <v>1607</v>
      </c>
      <c r="K299" s="4" t="s">
        <v>847</v>
      </c>
      <c r="L299" s="4" t="s">
        <v>33</v>
      </c>
      <c r="M299" s="4" t="s">
        <v>33</v>
      </c>
      <c r="N299" s="4">
        <f>11.71/1000</f>
        <v>1.1710000000000002E-2</v>
      </c>
      <c r="O299" s="4" t="s">
        <v>52</v>
      </c>
      <c r="Q299" s="4" t="s">
        <v>52</v>
      </c>
      <c r="W299" s="4" t="s">
        <v>2543</v>
      </c>
      <c r="X299" s="4" t="s">
        <v>1608</v>
      </c>
      <c r="Y299" s="4" t="s">
        <v>2544</v>
      </c>
      <c r="AB299" s="6">
        <v>44720</v>
      </c>
      <c r="AC299" s="6">
        <v>45098</v>
      </c>
      <c r="AD299" s="6">
        <v>45098</v>
      </c>
    </row>
    <row r="300" spans="1:30" x14ac:dyDescent="0.35">
      <c r="A300" s="7" t="s">
        <v>1609</v>
      </c>
      <c r="B300" s="4" t="s">
        <v>1610</v>
      </c>
      <c r="D300" s="4" t="s">
        <v>1611</v>
      </c>
      <c r="E300" s="4" t="s">
        <v>1612</v>
      </c>
      <c r="F300" s="4" t="s">
        <v>30</v>
      </c>
      <c r="G300" s="4" t="s">
        <v>73</v>
      </c>
      <c r="H300" s="4">
        <v>5</v>
      </c>
      <c r="I300" s="4" t="s">
        <v>1613</v>
      </c>
      <c r="K300" s="4" t="s">
        <v>378</v>
      </c>
      <c r="L300" s="4" t="s">
        <v>92</v>
      </c>
      <c r="M300" s="4" t="s">
        <v>154</v>
      </c>
      <c r="N300" s="4">
        <f>6.98/1000</f>
        <v>6.9800000000000001E-3</v>
      </c>
      <c r="O300" s="4" t="s">
        <v>2415</v>
      </c>
      <c r="Q300" s="4" t="s">
        <v>44</v>
      </c>
      <c r="W300" s="4" t="s">
        <v>2617</v>
      </c>
      <c r="X300" s="4" t="s">
        <v>1043</v>
      </c>
      <c r="Y300" s="4" t="s">
        <v>1614</v>
      </c>
      <c r="AB300" s="6">
        <v>44720</v>
      </c>
      <c r="AC300" s="6">
        <v>45057</v>
      </c>
      <c r="AD300" s="6">
        <v>44734</v>
      </c>
    </row>
    <row r="301" spans="1:30" x14ac:dyDescent="0.35">
      <c r="A301" s="7" t="s">
        <v>1615</v>
      </c>
      <c r="B301" s="4" t="s">
        <v>1616</v>
      </c>
      <c r="L301" s="4" t="s">
        <v>297</v>
      </c>
      <c r="AB301" s="6">
        <v>44720</v>
      </c>
      <c r="AC301" s="6"/>
    </row>
    <row r="302" spans="1:30" x14ac:dyDescent="0.35">
      <c r="A302" s="19" t="s">
        <v>2333</v>
      </c>
      <c r="B302" s="4" t="s">
        <v>2334</v>
      </c>
      <c r="C302" s="4" t="s">
        <v>2335</v>
      </c>
      <c r="D302" s="4" t="s">
        <v>1617</v>
      </c>
      <c r="E302" s="4" t="s">
        <v>2275</v>
      </c>
      <c r="F302" s="4" t="s">
        <v>110</v>
      </c>
      <c r="G302" s="4" t="s">
        <v>73</v>
      </c>
      <c r="I302" s="4" t="s">
        <v>1618</v>
      </c>
      <c r="J302" s="4" t="s">
        <v>8</v>
      </c>
      <c r="K302" s="4" t="s">
        <v>378</v>
      </c>
      <c r="L302" s="4" t="s">
        <v>92</v>
      </c>
      <c r="M302" s="4" t="s">
        <v>154</v>
      </c>
      <c r="N302" s="4">
        <f>12.32/1000</f>
        <v>1.2320000000000001E-2</v>
      </c>
      <c r="O302" s="4" t="s">
        <v>2415</v>
      </c>
      <c r="Q302" s="4" t="s">
        <v>52</v>
      </c>
      <c r="W302" s="4" t="s">
        <v>2618</v>
      </c>
      <c r="Y302" s="4" t="s">
        <v>2082</v>
      </c>
      <c r="Z302" s="4" t="s">
        <v>2050</v>
      </c>
      <c r="AB302" s="6">
        <v>44728</v>
      </c>
      <c r="AC302" s="6"/>
      <c r="AD302" s="6">
        <v>44734</v>
      </c>
    </row>
    <row r="303" spans="1:30" x14ac:dyDescent="0.35">
      <c r="A303" s="7" t="s">
        <v>1619</v>
      </c>
      <c r="B303" s="4" t="s">
        <v>1620</v>
      </c>
      <c r="D303" s="4" t="s">
        <v>1621</v>
      </c>
      <c r="E303" s="4" t="s">
        <v>1622</v>
      </c>
      <c r="G303" s="4" t="s">
        <v>73</v>
      </c>
      <c r="H303" s="4">
        <v>2</v>
      </c>
      <c r="K303" s="4" t="s">
        <v>378</v>
      </c>
      <c r="L303" s="4" t="s">
        <v>92</v>
      </c>
      <c r="M303" s="4" t="s">
        <v>175</v>
      </c>
      <c r="N303" s="4">
        <f>4.2/1000</f>
        <v>4.2000000000000006E-3</v>
      </c>
      <c r="O303" s="4" t="s">
        <v>35</v>
      </c>
      <c r="Q303" s="4" t="s">
        <v>35</v>
      </c>
      <c r="W303" s="4" t="s">
        <v>2619</v>
      </c>
      <c r="Y303" s="4" t="s">
        <v>2347</v>
      </c>
      <c r="AB303" s="6">
        <v>44720</v>
      </c>
      <c r="AC303" s="6"/>
      <c r="AD303" s="6">
        <v>44734</v>
      </c>
    </row>
    <row r="304" spans="1:30" x14ac:dyDescent="0.35">
      <c r="A304" s="7" t="s">
        <v>2230</v>
      </c>
      <c r="B304" s="4" t="s">
        <v>1623</v>
      </c>
      <c r="D304" s="4" t="s">
        <v>1624</v>
      </c>
      <c r="E304" s="4" t="s">
        <v>1625</v>
      </c>
      <c r="G304" s="4" t="s">
        <v>73</v>
      </c>
      <c r="H304" s="4">
        <v>2.5</v>
      </c>
      <c r="I304" s="4" t="s">
        <v>1626</v>
      </c>
      <c r="K304" s="4" t="s">
        <v>588</v>
      </c>
      <c r="L304" s="4" t="s">
        <v>33</v>
      </c>
      <c r="M304" s="4" t="s">
        <v>33</v>
      </c>
      <c r="N304" s="4">
        <f>49.08/1000</f>
        <v>4.9079999999999999E-2</v>
      </c>
      <c r="O304" s="4" t="s">
        <v>52</v>
      </c>
      <c r="Q304" s="4" t="s">
        <v>52</v>
      </c>
      <c r="W304" s="4" t="s">
        <v>1627</v>
      </c>
      <c r="X304" s="4" t="s">
        <v>1628</v>
      </c>
      <c r="AB304" s="6">
        <v>44720</v>
      </c>
      <c r="AC304" s="6"/>
      <c r="AD304" s="6">
        <v>45098</v>
      </c>
    </row>
    <row r="305" spans="1:30" x14ac:dyDescent="0.35">
      <c r="A305" s="7" t="s">
        <v>1629</v>
      </c>
      <c r="B305" s="4" t="s">
        <v>1630</v>
      </c>
      <c r="D305" s="4" t="s">
        <v>1631</v>
      </c>
      <c r="E305" s="4" t="s">
        <v>1632</v>
      </c>
      <c r="G305" s="4" t="s">
        <v>100</v>
      </c>
      <c r="H305" s="4">
        <v>30</v>
      </c>
      <c r="K305" s="4" t="s">
        <v>1633</v>
      </c>
      <c r="L305" s="4" t="s">
        <v>92</v>
      </c>
      <c r="M305" s="4" t="s">
        <v>1634</v>
      </c>
      <c r="N305" s="4">
        <f>3378/1000</f>
        <v>3.3780000000000001</v>
      </c>
      <c r="O305" s="4" t="s">
        <v>2090</v>
      </c>
      <c r="Q305" s="4" t="s">
        <v>2090</v>
      </c>
      <c r="R305" s="4" t="s">
        <v>52</v>
      </c>
      <c r="W305" s="4" t="s">
        <v>2620</v>
      </c>
      <c r="Y305" s="4" t="s">
        <v>2461</v>
      </c>
      <c r="Z305" s="4" t="s">
        <v>2081</v>
      </c>
      <c r="AB305" s="6">
        <v>44720</v>
      </c>
      <c r="AC305" s="6"/>
      <c r="AD305" s="6">
        <v>44735</v>
      </c>
    </row>
    <row r="306" spans="1:30" x14ac:dyDescent="0.35">
      <c r="A306" s="7" t="s">
        <v>2231</v>
      </c>
      <c r="B306" s="4" t="s">
        <v>1635</v>
      </c>
      <c r="C306" s="4" t="s">
        <v>1636</v>
      </c>
      <c r="D306" s="4" t="s">
        <v>1637</v>
      </c>
      <c r="E306" s="4" t="s">
        <v>1638</v>
      </c>
      <c r="G306" s="4" t="s">
        <v>73</v>
      </c>
      <c r="H306" s="4">
        <v>4</v>
      </c>
      <c r="I306" s="4" t="s">
        <v>1639</v>
      </c>
      <c r="K306" s="4" t="s">
        <v>407</v>
      </c>
      <c r="L306" s="4" t="s">
        <v>92</v>
      </c>
      <c r="M306" s="4" t="s">
        <v>1228</v>
      </c>
      <c r="AA306" s="4" t="s">
        <v>154</v>
      </c>
      <c r="AB306" s="6">
        <v>44720</v>
      </c>
      <c r="AC306" s="6"/>
    </row>
    <row r="307" spans="1:30" x14ac:dyDescent="0.35">
      <c r="A307" s="7" t="s">
        <v>1640</v>
      </c>
      <c r="B307" s="4" t="s">
        <v>2359</v>
      </c>
      <c r="C307" s="4" t="s">
        <v>2358</v>
      </c>
      <c r="D307" s="4" t="s">
        <v>1641</v>
      </c>
      <c r="E307" s="4" t="s">
        <v>1642</v>
      </c>
      <c r="G307" s="4" t="s">
        <v>73</v>
      </c>
      <c r="H307" s="4">
        <v>2</v>
      </c>
      <c r="K307" s="4" t="s">
        <v>407</v>
      </c>
      <c r="L307" s="4" t="s">
        <v>92</v>
      </c>
      <c r="M307" s="4" t="s">
        <v>1228</v>
      </c>
      <c r="N307" s="4">
        <f>2.065/1000</f>
        <v>2.065E-3</v>
      </c>
      <c r="O307" s="4" t="s">
        <v>104</v>
      </c>
      <c r="Q307" s="4" t="s">
        <v>104</v>
      </c>
      <c r="W307" s="4" t="s">
        <v>1643</v>
      </c>
      <c r="X307" s="4" t="s">
        <v>1644</v>
      </c>
      <c r="Y307" s="4" t="s">
        <v>1645</v>
      </c>
      <c r="AB307" s="6">
        <v>44720</v>
      </c>
      <c r="AC307" s="6"/>
      <c r="AD307" s="6">
        <v>44735</v>
      </c>
    </row>
    <row r="308" spans="1:30" x14ac:dyDescent="0.35">
      <c r="A308" s="7" t="s">
        <v>2232</v>
      </c>
      <c r="B308" s="4" t="s">
        <v>1647</v>
      </c>
      <c r="C308" s="4" t="s">
        <v>1646</v>
      </c>
      <c r="D308" s="4" t="s">
        <v>1637</v>
      </c>
      <c r="E308" s="4" t="s">
        <v>1648</v>
      </c>
      <c r="K308" s="4" t="s">
        <v>407</v>
      </c>
      <c r="L308" s="4" t="s">
        <v>92</v>
      </c>
      <c r="AA308" s="4" t="s">
        <v>154</v>
      </c>
      <c r="AB308" s="6">
        <v>44720</v>
      </c>
      <c r="AC308" s="6"/>
    </row>
    <row r="309" spans="1:30" x14ac:dyDescent="0.35">
      <c r="A309" s="7" t="s">
        <v>1649</v>
      </c>
      <c r="B309" s="4" t="s">
        <v>1650</v>
      </c>
      <c r="D309" s="4" t="s">
        <v>1651</v>
      </c>
      <c r="E309" s="4" t="s">
        <v>1652</v>
      </c>
      <c r="G309" s="4" t="s">
        <v>73</v>
      </c>
      <c r="H309" s="4">
        <v>5</v>
      </c>
      <c r="I309" s="4" t="s">
        <v>1653</v>
      </c>
      <c r="J309" s="4" t="s">
        <v>8</v>
      </c>
      <c r="K309" s="4" t="s">
        <v>571</v>
      </c>
      <c r="L309" s="4" t="s">
        <v>33</v>
      </c>
      <c r="M309" s="4" t="s">
        <v>33</v>
      </c>
      <c r="N309" s="4">
        <f>9.53/1000</f>
        <v>9.5299999999999985E-3</v>
      </c>
      <c r="O309" s="4" t="s">
        <v>52</v>
      </c>
      <c r="Q309" s="4" t="s">
        <v>52</v>
      </c>
      <c r="W309" s="4" t="s">
        <v>1654</v>
      </c>
      <c r="X309" s="4" t="s">
        <v>1655</v>
      </c>
      <c r="AB309" s="6">
        <v>44720</v>
      </c>
      <c r="AC309" s="6">
        <v>45098</v>
      </c>
      <c r="AD309" s="6">
        <v>45098</v>
      </c>
    </row>
    <row r="310" spans="1:30" s="3" customFormat="1" x14ac:dyDescent="0.35">
      <c r="A310" s="7" t="s">
        <v>2233</v>
      </c>
      <c r="B310" s="4" t="s">
        <v>794</v>
      </c>
      <c r="C310" s="4" t="s">
        <v>793</v>
      </c>
      <c r="D310" s="4" t="s">
        <v>795</v>
      </c>
      <c r="E310" s="4" t="s">
        <v>796</v>
      </c>
      <c r="F310" s="4"/>
      <c r="G310" s="4" t="s">
        <v>100</v>
      </c>
      <c r="H310" s="4">
        <v>8</v>
      </c>
      <c r="I310" s="4" t="s">
        <v>797</v>
      </c>
      <c r="J310" s="4"/>
      <c r="K310" s="4" t="s">
        <v>798</v>
      </c>
      <c r="L310" s="4" t="s">
        <v>33</v>
      </c>
      <c r="M310" s="4" t="s">
        <v>33</v>
      </c>
      <c r="N310" s="4">
        <f>1446.88/1000</f>
        <v>1.4468800000000002</v>
      </c>
      <c r="O310" s="4" t="s">
        <v>52</v>
      </c>
      <c r="P310" s="4"/>
      <c r="Q310" s="5" t="s">
        <v>52</v>
      </c>
      <c r="R310" s="5"/>
      <c r="S310" s="5"/>
      <c r="T310" s="5"/>
      <c r="U310" s="5"/>
      <c r="V310" s="5"/>
      <c r="W310" s="4" t="s">
        <v>799</v>
      </c>
      <c r="X310" s="4" t="s">
        <v>800</v>
      </c>
      <c r="Y310" s="4"/>
      <c r="Z310" s="4"/>
      <c r="AA310" s="4"/>
      <c r="AB310" s="6">
        <v>44719</v>
      </c>
      <c r="AC310" s="6"/>
      <c r="AD310" s="6">
        <v>45093</v>
      </c>
    </row>
    <row r="311" spans="1:30" x14ac:dyDescent="0.35">
      <c r="A311" s="7" t="s">
        <v>2276</v>
      </c>
      <c r="B311" s="4" t="s">
        <v>2110</v>
      </c>
      <c r="C311" s="4" t="s">
        <v>1656</v>
      </c>
      <c r="D311" s="4" t="s">
        <v>1657</v>
      </c>
      <c r="E311" s="4" t="s">
        <v>1658</v>
      </c>
      <c r="G311" s="4" t="s">
        <v>73</v>
      </c>
      <c r="K311" s="4" t="s">
        <v>798</v>
      </c>
      <c r="L311" s="4" t="s">
        <v>33</v>
      </c>
      <c r="M311" s="4" t="s">
        <v>33</v>
      </c>
      <c r="O311" s="4" t="s">
        <v>52</v>
      </c>
      <c r="Q311" s="4" t="s">
        <v>52</v>
      </c>
      <c r="W311" s="4" t="s">
        <v>1659</v>
      </c>
      <c r="Y311" s="4" t="s">
        <v>1660</v>
      </c>
      <c r="AB311" s="6"/>
      <c r="AC311" s="6">
        <v>44728</v>
      </c>
      <c r="AD311" s="6">
        <v>44733</v>
      </c>
    </row>
    <row r="312" spans="1:30" x14ac:dyDescent="0.35">
      <c r="A312" s="7" t="s">
        <v>1661</v>
      </c>
      <c r="B312" s="4" t="s">
        <v>1662</v>
      </c>
      <c r="D312" s="4" t="s">
        <v>1663</v>
      </c>
      <c r="E312" s="4" t="s">
        <v>1664</v>
      </c>
      <c r="G312" s="4" t="s">
        <v>73</v>
      </c>
      <c r="H312" s="4">
        <v>6</v>
      </c>
      <c r="I312" s="4" t="s">
        <v>1665</v>
      </c>
      <c r="K312" s="4" t="s">
        <v>91</v>
      </c>
      <c r="L312" s="4" t="s">
        <v>92</v>
      </c>
      <c r="M312" s="4" t="s">
        <v>154</v>
      </c>
      <c r="N312" s="4">
        <f>0.1/1000</f>
        <v>1E-4</v>
      </c>
      <c r="O312" s="4" t="s">
        <v>2415</v>
      </c>
      <c r="Q312" s="4" t="s">
        <v>2071</v>
      </c>
      <c r="V312" s="4" t="s">
        <v>1666</v>
      </c>
      <c r="W312" s="4" t="s">
        <v>2621</v>
      </c>
      <c r="Y312" s="4" t="s">
        <v>2406</v>
      </c>
      <c r="Z312" s="4" t="s">
        <v>2566</v>
      </c>
      <c r="AB312" s="6">
        <v>44720</v>
      </c>
      <c r="AC312" s="6"/>
      <c r="AD312" s="6">
        <v>44735</v>
      </c>
    </row>
    <row r="313" spans="1:30" x14ac:dyDescent="0.35">
      <c r="A313" s="7" t="s">
        <v>1667</v>
      </c>
      <c r="B313" s="4" t="s">
        <v>1668</v>
      </c>
      <c r="D313" s="4" t="s">
        <v>1669</v>
      </c>
      <c r="E313" s="4" t="s">
        <v>1670</v>
      </c>
      <c r="G313" s="4" t="s">
        <v>73</v>
      </c>
      <c r="H313" s="4">
        <v>2</v>
      </c>
      <c r="I313" s="4" t="s">
        <v>1671</v>
      </c>
      <c r="K313" s="4" t="s">
        <v>112</v>
      </c>
      <c r="L313" s="4" t="s">
        <v>33</v>
      </c>
      <c r="M313" s="4" t="s">
        <v>33</v>
      </c>
      <c r="N313" s="4">
        <f>1.72/1000</f>
        <v>1.72E-3</v>
      </c>
      <c r="O313" s="4" t="s">
        <v>52</v>
      </c>
      <c r="Q313" s="4" t="s">
        <v>52</v>
      </c>
      <c r="W313" s="4" t="s">
        <v>1672</v>
      </c>
      <c r="AB313" s="6">
        <v>44720</v>
      </c>
      <c r="AC313" s="6"/>
      <c r="AD313" s="6">
        <v>45098</v>
      </c>
    </row>
    <row r="314" spans="1:30" x14ac:dyDescent="0.35">
      <c r="A314" s="7" t="s">
        <v>1673</v>
      </c>
      <c r="B314" s="4" t="s">
        <v>1674</v>
      </c>
      <c r="D314" s="4" t="s">
        <v>1675</v>
      </c>
      <c r="E314" s="4" t="s">
        <v>1676</v>
      </c>
      <c r="G314" s="4" t="s">
        <v>73</v>
      </c>
      <c r="H314" s="4">
        <v>1.5</v>
      </c>
      <c r="I314" s="4" t="s">
        <v>1677</v>
      </c>
      <c r="J314" s="4" t="s">
        <v>8</v>
      </c>
      <c r="K314" s="4" t="s">
        <v>112</v>
      </c>
      <c r="L314" s="4" t="s">
        <v>33</v>
      </c>
      <c r="M314" s="4" t="s">
        <v>33</v>
      </c>
      <c r="N314" s="4">
        <f>3.33/1000</f>
        <v>3.3300000000000001E-3</v>
      </c>
      <c r="O314" s="4" t="s">
        <v>52</v>
      </c>
      <c r="Q314" s="4" t="s">
        <v>52</v>
      </c>
      <c r="W314" s="4" t="s">
        <v>1678</v>
      </c>
      <c r="Y314" s="4" t="s">
        <v>1679</v>
      </c>
      <c r="AB314" s="6">
        <v>44720</v>
      </c>
      <c r="AC314" s="6">
        <v>45098</v>
      </c>
      <c r="AD314" s="6">
        <v>45098</v>
      </c>
    </row>
    <row r="315" spans="1:30" x14ac:dyDescent="0.35">
      <c r="A315" s="7" t="s">
        <v>1680</v>
      </c>
      <c r="B315" s="4" t="s">
        <v>1681</v>
      </c>
      <c r="D315" s="4" t="s">
        <v>1682</v>
      </c>
      <c r="E315" s="4" t="s">
        <v>1683</v>
      </c>
      <c r="G315" s="4" t="s">
        <v>73</v>
      </c>
      <c r="H315" s="4">
        <v>4</v>
      </c>
      <c r="I315" s="4" t="s">
        <v>1684</v>
      </c>
      <c r="K315" s="4" t="s">
        <v>91</v>
      </c>
      <c r="L315" s="4" t="s">
        <v>92</v>
      </c>
      <c r="M315" s="4" t="s">
        <v>1685</v>
      </c>
      <c r="N315" s="4">
        <f>285.4/1000</f>
        <v>0.28539999999999999</v>
      </c>
      <c r="O315" s="4" t="s">
        <v>94</v>
      </c>
      <c r="P315" s="4" t="s">
        <v>35</v>
      </c>
      <c r="Q315" s="4" t="s">
        <v>94</v>
      </c>
      <c r="R315" s="4" t="s">
        <v>35</v>
      </c>
      <c r="S315" s="4" t="s">
        <v>105</v>
      </c>
      <c r="T315" s="4" t="s">
        <v>52</v>
      </c>
      <c r="W315" s="4" t="s">
        <v>2324</v>
      </c>
      <c r="X315" s="4" t="s">
        <v>1686</v>
      </c>
      <c r="Y315" s="4" t="s">
        <v>1687</v>
      </c>
      <c r="AB315" s="6">
        <v>44720</v>
      </c>
      <c r="AC315" s="6"/>
      <c r="AD315" s="6">
        <v>44735</v>
      </c>
    </row>
    <row r="316" spans="1:30" x14ac:dyDescent="0.35">
      <c r="A316" s="7" t="s">
        <v>1688</v>
      </c>
      <c r="B316" s="4" t="s">
        <v>1689</v>
      </c>
      <c r="D316" s="4" t="s">
        <v>1690</v>
      </c>
      <c r="G316" s="4" t="s">
        <v>100</v>
      </c>
      <c r="H316" s="4">
        <v>25</v>
      </c>
      <c r="I316" s="4" t="s">
        <v>1691</v>
      </c>
      <c r="J316" s="4" t="s">
        <v>8</v>
      </c>
      <c r="K316" s="4" t="s">
        <v>378</v>
      </c>
      <c r="L316" s="4" t="s">
        <v>92</v>
      </c>
      <c r="M316" s="4" t="s">
        <v>154</v>
      </c>
      <c r="N316" s="4">
        <f>19.2/1000</f>
        <v>1.9199999999999998E-2</v>
      </c>
      <c r="O316" s="4" t="s">
        <v>2415</v>
      </c>
      <c r="Q316" s="4" t="s">
        <v>44</v>
      </c>
      <c r="R316" s="4" t="s">
        <v>2071</v>
      </c>
      <c r="V316" s="4" t="s">
        <v>1692</v>
      </c>
      <c r="W316" s="4" t="s">
        <v>2622</v>
      </c>
      <c r="X316" s="4" t="s">
        <v>1686</v>
      </c>
      <c r="Y316" s="4" t="s">
        <v>1693</v>
      </c>
      <c r="AB316" s="6">
        <v>44720</v>
      </c>
      <c r="AC316" s="6"/>
      <c r="AD316" s="6">
        <v>44735</v>
      </c>
    </row>
    <row r="317" spans="1:30" x14ac:dyDescent="0.35">
      <c r="A317" s="7" t="s">
        <v>1694</v>
      </c>
      <c r="B317" s="4" t="s">
        <v>1695</v>
      </c>
      <c r="D317" s="4" t="s">
        <v>1696</v>
      </c>
      <c r="E317" s="4" t="s">
        <v>1697</v>
      </c>
      <c r="G317" s="4" t="s">
        <v>73</v>
      </c>
      <c r="H317" s="4">
        <v>1</v>
      </c>
      <c r="I317" s="4" t="s">
        <v>1698</v>
      </c>
      <c r="K317" s="4" t="s">
        <v>133</v>
      </c>
      <c r="L317" s="4" t="s">
        <v>92</v>
      </c>
      <c r="M317" s="4" t="s">
        <v>134</v>
      </c>
      <c r="O317" s="4" t="s">
        <v>104</v>
      </c>
      <c r="Q317" s="4" t="s">
        <v>104</v>
      </c>
      <c r="W317" s="4" t="s">
        <v>25</v>
      </c>
      <c r="X317" s="4" t="s">
        <v>1699</v>
      </c>
      <c r="AB317" s="6">
        <v>44720</v>
      </c>
      <c r="AC317" s="6">
        <v>45058</v>
      </c>
    </row>
    <row r="318" spans="1:30" x14ac:dyDescent="0.35">
      <c r="A318" s="7" t="s">
        <v>1700</v>
      </c>
      <c r="B318" s="4" t="s">
        <v>1701</v>
      </c>
      <c r="D318" s="4" t="s">
        <v>1702</v>
      </c>
      <c r="E318" s="4" t="s">
        <v>1703</v>
      </c>
      <c r="G318" s="4" t="s">
        <v>73</v>
      </c>
      <c r="H318" s="4">
        <v>3</v>
      </c>
      <c r="I318" s="4" t="s">
        <v>1704</v>
      </c>
      <c r="J318" s="4" t="s">
        <v>8</v>
      </c>
      <c r="K318" s="4" t="s">
        <v>1705</v>
      </c>
      <c r="L318" s="4" t="s">
        <v>33</v>
      </c>
      <c r="M318" s="4" t="s">
        <v>33</v>
      </c>
      <c r="N318" s="4">
        <f>15.56/1000</f>
        <v>1.5560000000000001E-2</v>
      </c>
      <c r="O318" s="4" t="s">
        <v>52</v>
      </c>
      <c r="Q318" s="4" t="s">
        <v>52</v>
      </c>
      <c r="W318" s="4" t="s">
        <v>2504</v>
      </c>
      <c r="X318" s="4" t="s">
        <v>2505</v>
      </c>
      <c r="Y318" s="4" t="s">
        <v>1706</v>
      </c>
      <c r="AB318" s="6">
        <v>44720</v>
      </c>
      <c r="AC318" s="6">
        <v>45098</v>
      </c>
      <c r="AD318" s="6">
        <v>45098</v>
      </c>
    </row>
    <row r="319" spans="1:30" x14ac:dyDescent="0.35">
      <c r="A319" s="7" t="s">
        <v>1707</v>
      </c>
      <c r="B319" s="4" t="s">
        <v>1708</v>
      </c>
      <c r="C319" s="4" t="s">
        <v>1709</v>
      </c>
      <c r="D319" s="4" t="s">
        <v>1710</v>
      </c>
      <c r="E319" s="4" t="s">
        <v>1711</v>
      </c>
      <c r="G319" s="4" t="s">
        <v>73</v>
      </c>
      <c r="I319" s="4" t="s">
        <v>1712</v>
      </c>
      <c r="J319" s="4" t="s">
        <v>8</v>
      </c>
      <c r="K319" s="4" t="s">
        <v>1713</v>
      </c>
      <c r="L319" s="4" t="s">
        <v>33</v>
      </c>
      <c r="M319" s="4" t="s">
        <v>33</v>
      </c>
      <c r="N319" s="4">
        <f>3.42/1000</f>
        <v>3.4199999999999999E-3</v>
      </c>
      <c r="O319" s="4" t="s">
        <v>52</v>
      </c>
      <c r="Q319" s="4" t="s">
        <v>52</v>
      </c>
      <c r="W319" s="4" t="s">
        <v>118</v>
      </c>
      <c r="X319" s="4" t="s">
        <v>1714</v>
      </c>
      <c r="Y319" s="4" t="s">
        <v>2381</v>
      </c>
      <c r="AB319" s="6"/>
      <c r="AC319" s="6"/>
      <c r="AD319" s="6">
        <v>45098</v>
      </c>
    </row>
    <row r="320" spans="1:30" x14ac:dyDescent="0.35">
      <c r="A320" s="7" t="s">
        <v>2234</v>
      </c>
      <c r="B320" s="4" t="s">
        <v>1716</v>
      </c>
      <c r="D320" s="4" t="s">
        <v>1717</v>
      </c>
      <c r="G320" s="4" t="s">
        <v>73</v>
      </c>
      <c r="I320" s="4" t="s">
        <v>1718</v>
      </c>
      <c r="J320" s="4" t="s">
        <v>8</v>
      </c>
      <c r="K320" s="4" t="s">
        <v>1713</v>
      </c>
      <c r="L320" s="4" t="s">
        <v>33</v>
      </c>
      <c r="M320" s="4" t="s">
        <v>33</v>
      </c>
      <c r="N320" s="4">
        <f>3.06/1000</f>
        <v>3.0600000000000002E-3</v>
      </c>
      <c r="O320" s="4" t="s">
        <v>52</v>
      </c>
      <c r="Q320" s="4" t="s">
        <v>52</v>
      </c>
      <c r="W320" s="4" t="s">
        <v>118</v>
      </c>
      <c r="X320" s="4" t="s">
        <v>1714</v>
      </c>
      <c r="Y320" s="4" t="s">
        <v>2381</v>
      </c>
      <c r="AB320" s="6">
        <v>45098</v>
      </c>
      <c r="AC320" s="6"/>
      <c r="AD320" s="6">
        <v>45098</v>
      </c>
    </row>
    <row r="321" spans="1:30" x14ac:dyDescent="0.35">
      <c r="A321" s="7" t="s">
        <v>2235</v>
      </c>
      <c r="B321" s="4" t="s">
        <v>1719</v>
      </c>
      <c r="D321" s="4" t="s">
        <v>1717</v>
      </c>
      <c r="G321" s="4" t="s">
        <v>73</v>
      </c>
      <c r="I321" s="4" t="s">
        <v>1720</v>
      </c>
      <c r="J321" s="4" t="s">
        <v>8</v>
      </c>
      <c r="K321" s="4" t="s">
        <v>1713</v>
      </c>
      <c r="L321" s="4" t="s">
        <v>33</v>
      </c>
      <c r="M321" s="4" t="s">
        <v>33</v>
      </c>
      <c r="N321" s="4">
        <f>2.09/1000</f>
        <v>2.0899999999999998E-3</v>
      </c>
      <c r="O321" s="4" t="s">
        <v>52</v>
      </c>
      <c r="Q321" s="4" t="s">
        <v>52</v>
      </c>
      <c r="W321" s="4" t="s">
        <v>118</v>
      </c>
      <c r="X321" s="4" t="s">
        <v>1714</v>
      </c>
      <c r="Y321" s="4" t="s">
        <v>2381</v>
      </c>
      <c r="AB321" s="6">
        <v>45098</v>
      </c>
      <c r="AC321" s="6"/>
      <c r="AD321" s="6">
        <v>45098</v>
      </c>
    </row>
    <row r="322" spans="1:30" x14ac:dyDescent="0.35">
      <c r="A322" s="7" t="s">
        <v>1721</v>
      </c>
      <c r="B322" s="4" t="s">
        <v>1722</v>
      </c>
      <c r="D322" s="4" t="s">
        <v>1717</v>
      </c>
      <c r="G322" s="4" t="s">
        <v>73</v>
      </c>
      <c r="I322" s="4" t="s">
        <v>1723</v>
      </c>
      <c r="J322" s="4" t="s">
        <v>8</v>
      </c>
      <c r="K322" s="4" t="s">
        <v>1713</v>
      </c>
      <c r="L322" s="4" t="s">
        <v>33</v>
      </c>
      <c r="M322" s="4" t="s">
        <v>33</v>
      </c>
      <c r="O322" s="4" t="s">
        <v>52</v>
      </c>
      <c r="Q322" s="4" t="s">
        <v>52</v>
      </c>
      <c r="W322" s="4" t="s">
        <v>118</v>
      </c>
      <c r="X322" s="4" t="s">
        <v>1714</v>
      </c>
      <c r="Y322" s="4" t="s">
        <v>2381</v>
      </c>
      <c r="AB322" s="6">
        <v>45098</v>
      </c>
      <c r="AC322" s="6"/>
      <c r="AD322" s="6">
        <v>45098</v>
      </c>
    </row>
    <row r="323" spans="1:30" x14ac:dyDescent="0.35">
      <c r="A323" s="7" t="s">
        <v>1724</v>
      </c>
      <c r="B323" s="4" t="s">
        <v>1725</v>
      </c>
      <c r="D323" s="4" t="s">
        <v>1726</v>
      </c>
      <c r="G323" s="4" t="s">
        <v>73</v>
      </c>
      <c r="I323" s="4" t="s">
        <v>1727</v>
      </c>
      <c r="J323" s="4" t="s">
        <v>8</v>
      </c>
      <c r="K323" s="4" t="s">
        <v>1713</v>
      </c>
      <c r="L323" s="4" t="s">
        <v>33</v>
      </c>
      <c r="M323" s="4" t="s">
        <v>33</v>
      </c>
      <c r="N323" s="4">
        <f>3.79/1000</f>
        <v>3.79E-3</v>
      </c>
      <c r="O323" s="4" t="s">
        <v>52</v>
      </c>
      <c r="Q323" s="4" t="s">
        <v>52</v>
      </c>
      <c r="W323" s="4" t="s">
        <v>118</v>
      </c>
      <c r="X323" s="4" t="s">
        <v>1714</v>
      </c>
      <c r="Y323" s="4" t="s">
        <v>2380</v>
      </c>
      <c r="AB323" s="6">
        <v>44720</v>
      </c>
      <c r="AC323" s="6"/>
      <c r="AD323" s="6">
        <v>45098</v>
      </c>
    </row>
    <row r="324" spans="1:30" x14ac:dyDescent="0.35">
      <c r="A324" s="7" t="s">
        <v>1728</v>
      </c>
      <c r="B324" s="4" t="s">
        <v>1729</v>
      </c>
      <c r="D324" s="4" t="s">
        <v>1717</v>
      </c>
      <c r="G324" s="4" t="s">
        <v>73</v>
      </c>
      <c r="I324" s="4" t="s">
        <v>1730</v>
      </c>
      <c r="J324" s="4" t="s">
        <v>8</v>
      </c>
      <c r="K324" s="4" t="s">
        <v>1713</v>
      </c>
      <c r="L324" s="4" t="s">
        <v>33</v>
      </c>
      <c r="M324" s="4" t="s">
        <v>33</v>
      </c>
      <c r="O324" s="4" t="s">
        <v>52</v>
      </c>
      <c r="Q324" s="4" t="s">
        <v>52</v>
      </c>
      <c r="W324" s="4" t="s">
        <v>118</v>
      </c>
      <c r="X324" s="4" t="s">
        <v>1714</v>
      </c>
      <c r="Y324" s="4" t="s">
        <v>2381</v>
      </c>
      <c r="AB324" s="6">
        <v>45098</v>
      </c>
      <c r="AC324" s="6"/>
    </row>
    <row r="325" spans="1:30" x14ac:dyDescent="0.35">
      <c r="A325" s="7" t="s">
        <v>1731</v>
      </c>
      <c r="B325" s="4" t="s">
        <v>1732</v>
      </c>
      <c r="D325" s="4" t="s">
        <v>1733</v>
      </c>
      <c r="E325" s="4" t="s">
        <v>1734</v>
      </c>
      <c r="G325" s="4" t="s">
        <v>73</v>
      </c>
      <c r="H325" s="4">
        <v>4</v>
      </c>
      <c r="I325" s="4" t="s">
        <v>1735</v>
      </c>
      <c r="K325" s="4" t="s">
        <v>1713</v>
      </c>
      <c r="L325" s="4" t="s">
        <v>33</v>
      </c>
      <c r="M325" s="4" t="s">
        <v>33</v>
      </c>
      <c r="O325" s="4" t="s">
        <v>52</v>
      </c>
      <c r="Q325" s="4" t="s">
        <v>52</v>
      </c>
      <c r="W325" s="4" t="s">
        <v>1061</v>
      </c>
      <c r="X325" s="10" t="s">
        <v>1736</v>
      </c>
      <c r="Y325" s="4" t="s">
        <v>1737</v>
      </c>
      <c r="AB325" s="6">
        <v>44720</v>
      </c>
      <c r="AC325" s="6">
        <v>45098</v>
      </c>
    </row>
    <row r="326" spans="1:30" x14ac:dyDescent="0.35">
      <c r="A326" s="7" t="s">
        <v>1738</v>
      </c>
      <c r="B326" s="4" t="s">
        <v>1739</v>
      </c>
      <c r="D326" s="4" t="s">
        <v>1717</v>
      </c>
      <c r="G326" s="4" t="s">
        <v>73</v>
      </c>
      <c r="I326" s="4" t="s">
        <v>1740</v>
      </c>
      <c r="K326" s="4" t="s">
        <v>1713</v>
      </c>
      <c r="L326" s="4" t="s">
        <v>33</v>
      </c>
      <c r="M326" s="4" t="s">
        <v>33</v>
      </c>
      <c r="N326" s="4">
        <f>2.93/1000</f>
        <v>2.9300000000000003E-3</v>
      </c>
      <c r="O326" s="4" t="s">
        <v>52</v>
      </c>
      <c r="Q326" s="4" t="s">
        <v>52</v>
      </c>
      <c r="W326" s="4" t="s">
        <v>118</v>
      </c>
      <c r="X326" s="4" t="s">
        <v>1714</v>
      </c>
      <c r="Y326" s="4" t="s">
        <v>2381</v>
      </c>
      <c r="AB326" s="6">
        <v>45098</v>
      </c>
      <c r="AC326" s="6"/>
      <c r="AD326" s="6">
        <v>45098</v>
      </c>
    </row>
    <row r="327" spans="1:30" x14ac:dyDescent="0.35">
      <c r="A327" s="7" t="s">
        <v>1741</v>
      </c>
      <c r="B327" s="4" t="s">
        <v>1742</v>
      </c>
      <c r="D327" s="4" t="s">
        <v>1717</v>
      </c>
      <c r="G327" s="4" t="s">
        <v>73</v>
      </c>
      <c r="I327" s="4" t="s">
        <v>1743</v>
      </c>
      <c r="J327" s="4" t="s">
        <v>8</v>
      </c>
      <c r="K327" s="4" t="s">
        <v>1713</v>
      </c>
      <c r="L327" s="4" t="s">
        <v>33</v>
      </c>
      <c r="M327" s="4" t="s">
        <v>33</v>
      </c>
      <c r="N327" s="4">
        <f>2.52/1000</f>
        <v>2.5200000000000001E-3</v>
      </c>
      <c r="O327" s="4" t="s">
        <v>52</v>
      </c>
      <c r="Q327" s="4" t="s">
        <v>52</v>
      </c>
      <c r="R327" s="4" t="s">
        <v>2071</v>
      </c>
      <c r="W327" s="4" t="s">
        <v>2325</v>
      </c>
      <c r="X327" s="4" t="s">
        <v>1714</v>
      </c>
      <c r="Y327" s="4" t="s">
        <v>2407</v>
      </c>
      <c r="AB327" s="6">
        <v>45098</v>
      </c>
      <c r="AC327" s="6"/>
      <c r="AD327" s="6">
        <v>45098</v>
      </c>
    </row>
    <row r="328" spans="1:30" x14ac:dyDescent="0.35">
      <c r="A328" s="7" t="s">
        <v>2236</v>
      </c>
      <c r="B328" s="4" t="s">
        <v>1744</v>
      </c>
      <c r="D328" s="4" t="s">
        <v>1717</v>
      </c>
      <c r="G328" s="4" t="s">
        <v>73</v>
      </c>
      <c r="I328" s="4" t="s">
        <v>1745</v>
      </c>
      <c r="J328" s="4" t="s">
        <v>8</v>
      </c>
      <c r="K328" s="4" t="s">
        <v>1713</v>
      </c>
      <c r="L328" s="4" t="s">
        <v>33</v>
      </c>
      <c r="M328" s="4" t="s">
        <v>33</v>
      </c>
      <c r="O328" s="4" t="s">
        <v>52</v>
      </c>
      <c r="Q328" s="4" t="s">
        <v>52</v>
      </c>
      <c r="W328" s="4" t="s">
        <v>118</v>
      </c>
      <c r="X328" s="4" t="s">
        <v>1714</v>
      </c>
      <c r="Y328" s="4" t="s">
        <v>1715</v>
      </c>
      <c r="AB328" s="6"/>
      <c r="AC328" s="6"/>
    </row>
    <row r="329" spans="1:30" x14ac:dyDescent="0.35">
      <c r="A329" s="7" t="s">
        <v>1746</v>
      </c>
      <c r="B329" s="4" t="s">
        <v>1747</v>
      </c>
      <c r="D329" s="4" t="s">
        <v>1748</v>
      </c>
      <c r="E329" s="4" t="s">
        <v>1749</v>
      </c>
      <c r="F329" s="4" t="s">
        <v>110</v>
      </c>
      <c r="G329" s="4" t="s">
        <v>73</v>
      </c>
      <c r="I329" s="4" t="s">
        <v>1750</v>
      </c>
      <c r="J329" s="4" t="s">
        <v>8</v>
      </c>
      <c r="K329" s="4" t="s">
        <v>407</v>
      </c>
      <c r="L329" s="4" t="s">
        <v>92</v>
      </c>
      <c r="M329" s="4" t="s">
        <v>1228</v>
      </c>
      <c r="N329" s="4">
        <f>1.8352/1000</f>
        <v>1.8351999999999999E-3</v>
      </c>
      <c r="O329" s="4" t="s">
        <v>104</v>
      </c>
      <c r="Q329" s="4" t="s">
        <v>104</v>
      </c>
      <c r="W329" s="4" t="s">
        <v>2623</v>
      </c>
      <c r="X329" s="4" t="s">
        <v>1751</v>
      </c>
      <c r="Y329" s="4" t="s">
        <v>2408</v>
      </c>
      <c r="AB329" s="6">
        <v>44720</v>
      </c>
      <c r="AC329" s="6">
        <v>45058</v>
      </c>
      <c r="AD329" s="6">
        <v>44735</v>
      </c>
    </row>
    <row r="330" spans="1:30" x14ac:dyDescent="0.35">
      <c r="A330" s="7" t="s">
        <v>1752</v>
      </c>
      <c r="B330" s="4" t="s">
        <v>1753</v>
      </c>
      <c r="D330" s="4" t="s">
        <v>1754</v>
      </c>
      <c r="E330" s="4" t="s">
        <v>2283</v>
      </c>
      <c r="G330" s="4" t="s">
        <v>89</v>
      </c>
      <c r="H330" s="4">
        <v>0.1</v>
      </c>
      <c r="I330" s="4" t="s">
        <v>1755</v>
      </c>
      <c r="K330" s="4" t="s">
        <v>91</v>
      </c>
      <c r="L330" s="4" t="s">
        <v>92</v>
      </c>
      <c r="M330" s="4" t="s">
        <v>1756</v>
      </c>
      <c r="N330" s="4">
        <f>0.02/1000</f>
        <v>2.0000000000000002E-5</v>
      </c>
      <c r="O330" s="4" t="s">
        <v>2415</v>
      </c>
      <c r="Q330" s="4" t="s">
        <v>52</v>
      </c>
      <c r="R330" s="4" t="s">
        <v>2071</v>
      </c>
      <c r="W330" s="4" t="s">
        <v>2545</v>
      </c>
      <c r="Y330" s="4" t="s">
        <v>2546</v>
      </c>
      <c r="Z330" s="4" t="s">
        <v>2566</v>
      </c>
      <c r="AB330" s="6">
        <v>44721</v>
      </c>
      <c r="AC330" s="6">
        <v>45058</v>
      </c>
      <c r="AD330" s="6">
        <v>44735</v>
      </c>
    </row>
    <row r="331" spans="1:30" x14ac:dyDescent="0.35">
      <c r="A331" s="7" t="s">
        <v>1757</v>
      </c>
      <c r="B331" s="4" t="s">
        <v>1758</v>
      </c>
      <c r="D331" s="4" t="s">
        <v>1759</v>
      </c>
      <c r="E331" s="4" t="s">
        <v>1760</v>
      </c>
      <c r="G331" s="4" t="s">
        <v>100</v>
      </c>
      <c r="H331" s="4">
        <v>7</v>
      </c>
      <c r="I331" s="4" t="s">
        <v>1761</v>
      </c>
      <c r="J331" s="4" t="s">
        <v>8</v>
      </c>
      <c r="K331" s="4" t="s">
        <v>91</v>
      </c>
      <c r="L331" s="4" t="s">
        <v>92</v>
      </c>
      <c r="M331" s="4" t="s">
        <v>1762</v>
      </c>
      <c r="N331" s="4">
        <f>0.1708/1000</f>
        <v>1.708E-4</v>
      </c>
      <c r="O331" s="4" t="s">
        <v>104</v>
      </c>
      <c r="Q331" s="4" t="s">
        <v>104</v>
      </c>
      <c r="R331" s="4" t="s">
        <v>44</v>
      </c>
      <c r="S331" s="4" t="s">
        <v>105</v>
      </c>
      <c r="W331" s="4" t="s">
        <v>2414</v>
      </c>
      <c r="X331" s="4" t="s">
        <v>2413</v>
      </c>
      <c r="Y331" s="4" t="s">
        <v>1763</v>
      </c>
      <c r="AB331" s="6">
        <v>44721</v>
      </c>
      <c r="AC331" s="6">
        <v>45058</v>
      </c>
      <c r="AD331" s="6">
        <v>44735</v>
      </c>
    </row>
    <row r="332" spans="1:30" x14ac:dyDescent="0.35">
      <c r="A332" s="7" t="s">
        <v>2260</v>
      </c>
      <c r="B332" s="4" t="s">
        <v>1764</v>
      </c>
      <c r="C332" s="4" t="s">
        <v>1765</v>
      </c>
      <c r="D332" s="4" t="s">
        <v>1766</v>
      </c>
      <c r="E332" s="4" t="s">
        <v>1767</v>
      </c>
      <c r="G332" s="4" t="s">
        <v>100</v>
      </c>
      <c r="H332" s="4">
        <v>25</v>
      </c>
      <c r="I332" s="4" t="s">
        <v>1768</v>
      </c>
      <c r="J332" s="4" t="s">
        <v>8</v>
      </c>
      <c r="K332" s="4" t="s">
        <v>91</v>
      </c>
      <c r="L332" s="4" t="s">
        <v>92</v>
      </c>
      <c r="M332" s="4" t="s">
        <v>1769</v>
      </c>
      <c r="N332" s="4">
        <f>0.14/1000</f>
        <v>1.4000000000000001E-4</v>
      </c>
      <c r="X332" s="4" t="s">
        <v>1770</v>
      </c>
      <c r="Y332" s="4" t="s">
        <v>1771</v>
      </c>
      <c r="AA332" s="4" t="s">
        <v>168</v>
      </c>
      <c r="AB332" s="6">
        <v>44721</v>
      </c>
      <c r="AC332" s="6">
        <v>45058</v>
      </c>
      <c r="AD332" s="6">
        <v>44735</v>
      </c>
    </row>
    <row r="333" spans="1:30" x14ac:dyDescent="0.35">
      <c r="A333" s="7" t="s">
        <v>2237</v>
      </c>
      <c r="B333" s="4" t="s">
        <v>2132</v>
      </c>
      <c r="D333" s="4" t="s">
        <v>2156</v>
      </c>
      <c r="E333" s="4" t="s">
        <v>2157</v>
      </c>
      <c r="F333" s="4" t="s">
        <v>30</v>
      </c>
      <c r="G333" s="4" t="s">
        <v>73</v>
      </c>
      <c r="H333" s="4">
        <v>8</v>
      </c>
      <c r="I333" s="4" t="s">
        <v>2158</v>
      </c>
      <c r="J333" s="4" t="s">
        <v>8</v>
      </c>
      <c r="K333" s="4" t="s">
        <v>91</v>
      </c>
      <c r="L333" s="4" t="s">
        <v>92</v>
      </c>
      <c r="M333" s="4" t="s">
        <v>134</v>
      </c>
      <c r="N333" s="4">
        <f>0.21/1000</f>
        <v>2.0999999999999998E-4</v>
      </c>
      <c r="O333" s="4" t="s">
        <v>104</v>
      </c>
      <c r="Q333" s="4" t="s">
        <v>104</v>
      </c>
      <c r="R333" s="4" t="s">
        <v>44</v>
      </c>
      <c r="W333" s="4" t="s">
        <v>2159</v>
      </c>
      <c r="X333" s="4" t="s">
        <v>2160</v>
      </c>
      <c r="Z333" s="4" t="s">
        <v>2566</v>
      </c>
      <c r="AB333" s="6"/>
      <c r="AC333" s="6"/>
      <c r="AD333" s="6">
        <v>45202</v>
      </c>
    </row>
    <row r="334" spans="1:30" x14ac:dyDescent="0.35">
      <c r="A334" s="7" t="s">
        <v>1772</v>
      </c>
      <c r="B334" s="4" t="s">
        <v>1773</v>
      </c>
      <c r="D334" s="4" t="s">
        <v>1774</v>
      </c>
      <c r="E334" s="4" t="s">
        <v>1098</v>
      </c>
      <c r="F334" s="4" t="s">
        <v>110</v>
      </c>
      <c r="G334" s="4" t="s">
        <v>73</v>
      </c>
      <c r="I334" s="4" t="s">
        <v>1775</v>
      </c>
      <c r="K334" s="4" t="s">
        <v>112</v>
      </c>
      <c r="L334" s="4" t="s">
        <v>33</v>
      </c>
      <c r="M334" s="4" t="s">
        <v>33</v>
      </c>
      <c r="O334" s="4" t="s">
        <v>52</v>
      </c>
      <c r="Q334" s="4" t="s">
        <v>52</v>
      </c>
      <c r="W334" s="4" t="s">
        <v>1776</v>
      </c>
      <c r="Y334" s="4" t="s">
        <v>1777</v>
      </c>
      <c r="AB334" s="6">
        <v>44721</v>
      </c>
      <c r="AC334" s="6"/>
    </row>
    <row r="335" spans="1:30" x14ac:dyDescent="0.35">
      <c r="A335" s="7" t="s">
        <v>1778</v>
      </c>
      <c r="B335" s="4" t="s">
        <v>1779</v>
      </c>
      <c r="D335" s="4" t="s">
        <v>1780</v>
      </c>
      <c r="E335" s="4" t="s">
        <v>1781</v>
      </c>
      <c r="F335" s="4" t="s">
        <v>30</v>
      </c>
      <c r="G335" s="4" t="s">
        <v>73</v>
      </c>
      <c r="H335" s="4">
        <v>6</v>
      </c>
      <c r="I335" s="4" t="s">
        <v>1782</v>
      </c>
      <c r="K335" s="4" t="s">
        <v>571</v>
      </c>
      <c r="L335" s="4" t="s">
        <v>33</v>
      </c>
      <c r="M335" s="4" t="s">
        <v>33</v>
      </c>
      <c r="N335" s="4">
        <f>9.87/1000</f>
        <v>9.8699999999999986E-3</v>
      </c>
      <c r="O335" s="4" t="s">
        <v>52</v>
      </c>
      <c r="Q335" s="4" t="s">
        <v>52</v>
      </c>
      <c r="W335" s="4" t="s">
        <v>2495</v>
      </c>
      <c r="X335" s="4" t="s">
        <v>1783</v>
      </c>
      <c r="Y335" s="4" t="s">
        <v>2494</v>
      </c>
      <c r="AB335" s="6">
        <v>44721</v>
      </c>
      <c r="AC335" s="6" t="s">
        <v>1784</v>
      </c>
      <c r="AD335" s="6">
        <v>45099</v>
      </c>
    </row>
    <row r="336" spans="1:30" x14ac:dyDescent="0.35">
      <c r="A336" s="7" t="s">
        <v>1785</v>
      </c>
      <c r="B336" s="4" t="s">
        <v>1786</v>
      </c>
      <c r="C336" s="4" t="s">
        <v>1787</v>
      </c>
      <c r="D336" s="4" t="s">
        <v>1788</v>
      </c>
      <c r="E336" s="4" t="s">
        <v>1789</v>
      </c>
      <c r="G336" s="4" t="s">
        <v>73</v>
      </c>
      <c r="H336" s="4">
        <v>3</v>
      </c>
      <c r="I336" s="4" t="s">
        <v>1790</v>
      </c>
      <c r="K336" s="4" t="s">
        <v>571</v>
      </c>
      <c r="L336" s="4" t="s">
        <v>33</v>
      </c>
      <c r="M336" s="4" t="s">
        <v>33</v>
      </c>
      <c r="N336" s="4">
        <f>18.14/1000</f>
        <v>1.814E-2</v>
      </c>
      <c r="O336" s="4" t="s">
        <v>52</v>
      </c>
      <c r="Q336" s="4" t="s">
        <v>52</v>
      </c>
      <c r="R336" s="4" t="s">
        <v>35</v>
      </c>
      <c r="W336" s="4" t="s">
        <v>2492</v>
      </c>
      <c r="X336" s="4" t="s">
        <v>1791</v>
      </c>
      <c r="Y336" s="4" t="s">
        <v>2493</v>
      </c>
      <c r="AB336" s="6">
        <v>44728</v>
      </c>
      <c r="AC336" s="6" t="s">
        <v>1784</v>
      </c>
      <c r="AD336" s="6">
        <v>45099</v>
      </c>
    </row>
    <row r="337" spans="1:30" x14ac:dyDescent="0.35">
      <c r="A337" s="7" t="s">
        <v>1792</v>
      </c>
      <c r="B337" s="4" t="s">
        <v>1793</v>
      </c>
      <c r="D337" s="4" t="s">
        <v>1794</v>
      </c>
      <c r="E337" s="4" t="s">
        <v>2089</v>
      </c>
      <c r="F337" s="4" t="s">
        <v>645</v>
      </c>
      <c r="G337" s="4" t="s">
        <v>89</v>
      </c>
      <c r="H337" s="4">
        <v>3</v>
      </c>
      <c r="I337" s="4" t="s">
        <v>1795</v>
      </c>
      <c r="J337" s="4" t="s">
        <v>8</v>
      </c>
      <c r="K337" s="4" t="s">
        <v>407</v>
      </c>
      <c r="L337" s="4" t="s">
        <v>169</v>
      </c>
      <c r="M337" s="4" t="s">
        <v>1796</v>
      </c>
      <c r="N337" s="4">
        <f>0.68/1000</f>
        <v>6.8000000000000005E-4</v>
      </c>
      <c r="O337" s="4" t="s">
        <v>105</v>
      </c>
      <c r="Q337" s="4" t="s">
        <v>105</v>
      </c>
      <c r="R337" s="4" t="s">
        <v>52</v>
      </c>
      <c r="W337" s="4" t="s">
        <v>2530</v>
      </c>
      <c r="X337" s="4" t="s">
        <v>1797</v>
      </c>
      <c r="Y337" s="4" t="s">
        <v>2547</v>
      </c>
      <c r="AB337" s="6">
        <v>44721</v>
      </c>
      <c r="AC337" s="6">
        <v>45058</v>
      </c>
      <c r="AD337" s="6">
        <v>45058</v>
      </c>
    </row>
    <row r="338" spans="1:30" x14ac:dyDescent="0.35">
      <c r="A338" s="7" t="s">
        <v>1802</v>
      </c>
      <c r="B338" s="4" t="s">
        <v>1803</v>
      </c>
      <c r="D338" s="4" t="s">
        <v>1804</v>
      </c>
      <c r="E338" s="4" t="s">
        <v>1805</v>
      </c>
      <c r="G338" s="4" t="s">
        <v>89</v>
      </c>
      <c r="H338" s="4">
        <v>0.09</v>
      </c>
      <c r="I338" s="4" t="s">
        <v>1806</v>
      </c>
      <c r="J338" s="4" t="s">
        <v>8</v>
      </c>
      <c r="K338" s="4" t="s">
        <v>235</v>
      </c>
      <c r="L338" s="4" t="s">
        <v>92</v>
      </c>
      <c r="M338" s="4" t="s">
        <v>611</v>
      </c>
      <c r="N338" s="4">
        <f>0.04/1000</f>
        <v>4.0000000000000003E-5</v>
      </c>
      <c r="O338" s="4" t="s">
        <v>2415</v>
      </c>
      <c r="Q338" s="4" t="s">
        <v>52</v>
      </c>
      <c r="R338" s="4" t="s">
        <v>2071</v>
      </c>
      <c r="W338" s="4" t="s">
        <v>2624</v>
      </c>
      <c r="X338" s="4" t="s">
        <v>1807</v>
      </c>
      <c r="Y338" s="4" t="s">
        <v>2462</v>
      </c>
      <c r="AB338" s="6">
        <v>44721</v>
      </c>
      <c r="AC338" s="6"/>
      <c r="AD338" s="6">
        <v>44735</v>
      </c>
    </row>
    <row r="339" spans="1:30" x14ac:dyDescent="0.35">
      <c r="A339" s="7" t="s">
        <v>1808</v>
      </c>
      <c r="B339" s="4" t="s">
        <v>1809</v>
      </c>
      <c r="D339" s="4" t="s">
        <v>1810</v>
      </c>
      <c r="E339" s="4" t="s">
        <v>1811</v>
      </c>
      <c r="G339" s="4" t="s">
        <v>73</v>
      </c>
      <c r="I339" s="4" t="s">
        <v>1812</v>
      </c>
      <c r="K339" s="4" t="s">
        <v>235</v>
      </c>
      <c r="L339" s="4" t="s">
        <v>92</v>
      </c>
      <c r="N339" s="4">
        <f>0.024/1000</f>
        <v>2.4000000000000001E-5</v>
      </c>
      <c r="O339" s="4" t="s">
        <v>2415</v>
      </c>
      <c r="Q339" s="4" t="s">
        <v>292</v>
      </c>
      <c r="Z339" s="4" t="s">
        <v>2566</v>
      </c>
      <c r="AB339" s="6">
        <v>44721</v>
      </c>
      <c r="AC339" s="6"/>
      <c r="AD339" s="6">
        <v>44735</v>
      </c>
    </row>
    <row r="340" spans="1:30" x14ac:dyDescent="0.35">
      <c r="A340" s="7" t="s">
        <v>2238</v>
      </c>
      <c r="B340" s="4" t="s">
        <v>1813</v>
      </c>
      <c r="K340" s="4" t="s">
        <v>296</v>
      </c>
      <c r="L340" s="4" t="s">
        <v>1814</v>
      </c>
      <c r="AB340" s="6">
        <v>44721</v>
      </c>
      <c r="AC340" s="6"/>
    </row>
    <row r="341" spans="1:30" x14ac:dyDescent="0.35">
      <c r="A341" s="7" t="s">
        <v>2239</v>
      </c>
      <c r="B341" s="4" t="s">
        <v>1815</v>
      </c>
      <c r="D341" s="4" t="s">
        <v>1816</v>
      </c>
      <c r="E341" s="4" t="s">
        <v>1817</v>
      </c>
      <c r="K341" s="4" t="s">
        <v>133</v>
      </c>
      <c r="L341" s="4" t="s">
        <v>92</v>
      </c>
      <c r="M341" s="4" t="s">
        <v>134</v>
      </c>
      <c r="X341" s="4" t="s">
        <v>2326</v>
      </c>
      <c r="Y341" s="10"/>
      <c r="AA341" s="4" t="s">
        <v>154</v>
      </c>
      <c r="AB341" s="6">
        <v>44721</v>
      </c>
      <c r="AC341" s="6"/>
      <c r="AD341" s="6"/>
    </row>
    <row r="342" spans="1:30" x14ac:dyDescent="0.35">
      <c r="A342" s="7" t="s">
        <v>1818</v>
      </c>
      <c r="B342" s="4" t="s">
        <v>1819</v>
      </c>
      <c r="D342" s="4" t="s">
        <v>1820</v>
      </c>
      <c r="E342" s="4" t="s">
        <v>1821</v>
      </c>
      <c r="G342" s="4" t="s">
        <v>89</v>
      </c>
      <c r="H342" s="4">
        <v>0.6</v>
      </c>
      <c r="I342" s="4" t="s">
        <v>1822</v>
      </c>
      <c r="J342" s="4" t="s">
        <v>8</v>
      </c>
      <c r="K342" s="4" t="s">
        <v>133</v>
      </c>
      <c r="L342" s="4" t="s">
        <v>92</v>
      </c>
      <c r="M342" s="4" t="s">
        <v>134</v>
      </c>
      <c r="O342" s="4" t="s">
        <v>104</v>
      </c>
      <c r="Q342" s="4" t="s">
        <v>104</v>
      </c>
      <c r="Y342" s="10" t="s">
        <v>1823</v>
      </c>
      <c r="Z342" s="4" t="s">
        <v>2566</v>
      </c>
      <c r="AB342" s="6">
        <v>44721</v>
      </c>
      <c r="AC342" s="6"/>
      <c r="AD342" s="6">
        <v>44739</v>
      </c>
    </row>
    <row r="343" spans="1:30" x14ac:dyDescent="0.35">
      <c r="A343" s="7" t="s">
        <v>2240</v>
      </c>
      <c r="B343" s="4" t="s">
        <v>1824</v>
      </c>
      <c r="D343" s="4" t="s">
        <v>1825</v>
      </c>
      <c r="G343" s="4" t="s">
        <v>89</v>
      </c>
      <c r="H343" s="4">
        <v>1</v>
      </c>
      <c r="I343" s="4" t="s">
        <v>1826</v>
      </c>
      <c r="J343" s="4" t="s">
        <v>8</v>
      </c>
      <c r="K343" s="4" t="s">
        <v>133</v>
      </c>
      <c r="L343" s="4" t="s">
        <v>92</v>
      </c>
      <c r="M343" s="4" t="s">
        <v>134</v>
      </c>
      <c r="N343" s="4">
        <f>0.4816/1000</f>
        <v>4.816E-4</v>
      </c>
      <c r="O343" s="4" t="s">
        <v>104</v>
      </c>
      <c r="Q343" s="4" t="s">
        <v>104</v>
      </c>
      <c r="Y343" s="10" t="s">
        <v>1823</v>
      </c>
      <c r="Z343" s="4" t="s">
        <v>2566</v>
      </c>
      <c r="AB343" s="6">
        <v>44721</v>
      </c>
      <c r="AC343" s="6"/>
      <c r="AD343" s="6">
        <v>44739</v>
      </c>
    </row>
    <row r="344" spans="1:30" x14ac:dyDescent="0.35">
      <c r="A344" s="7" t="s">
        <v>1827</v>
      </c>
      <c r="B344" s="4" t="s">
        <v>1828</v>
      </c>
      <c r="D344" s="4" t="s">
        <v>1829</v>
      </c>
      <c r="E344" s="4" t="s">
        <v>1830</v>
      </c>
      <c r="G344" s="4" t="s">
        <v>89</v>
      </c>
      <c r="H344" s="4">
        <v>0.5</v>
      </c>
      <c r="I344" s="4" t="s">
        <v>1831</v>
      </c>
      <c r="K344" s="4" t="s">
        <v>133</v>
      </c>
      <c r="L344" s="4" t="s">
        <v>92</v>
      </c>
      <c r="M344" s="4" t="s">
        <v>134</v>
      </c>
      <c r="O344" s="4" t="s">
        <v>104</v>
      </c>
      <c r="Q344" s="4" t="s">
        <v>104</v>
      </c>
      <c r="Y344" s="10" t="s">
        <v>1823</v>
      </c>
      <c r="Z344" s="4" t="s">
        <v>2566</v>
      </c>
      <c r="AB344" s="6">
        <v>44721</v>
      </c>
      <c r="AC344" s="6"/>
      <c r="AD344" s="6">
        <v>44739</v>
      </c>
    </row>
    <row r="345" spans="1:30" x14ac:dyDescent="0.35">
      <c r="A345" s="7" t="s">
        <v>1832</v>
      </c>
      <c r="B345" s="4" t="s">
        <v>1833</v>
      </c>
      <c r="D345" s="4" t="s">
        <v>1834</v>
      </c>
      <c r="E345" s="4" t="s">
        <v>1835</v>
      </c>
      <c r="G345" s="4" t="s">
        <v>73</v>
      </c>
      <c r="H345" s="4">
        <v>2</v>
      </c>
      <c r="I345" s="4" t="s">
        <v>1836</v>
      </c>
      <c r="K345" s="4" t="s">
        <v>378</v>
      </c>
      <c r="L345" s="4" t="s">
        <v>92</v>
      </c>
      <c r="M345" s="4" t="s">
        <v>656</v>
      </c>
      <c r="N345" s="4">
        <f>20.03/1000</f>
        <v>2.0030000000000003E-2</v>
      </c>
      <c r="O345" s="4" t="s">
        <v>94</v>
      </c>
      <c r="Q345" s="4" t="s">
        <v>94</v>
      </c>
      <c r="W345" s="4" t="s">
        <v>187</v>
      </c>
      <c r="X345" s="10" t="s">
        <v>2382</v>
      </c>
      <c r="Y345" s="4" t="s">
        <v>2383</v>
      </c>
      <c r="AB345" s="6">
        <v>44721</v>
      </c>
      <c r="AC345" s="6"/>
      <c r="AD345" s="6">
        <v>44739</v>
      </c>
    </row>
    <row r="346" spans="1:30" x14ac:dyDescent="0.35">
      <c r="A346" s="7" t="s">
        <v>1840</v>
      </c>
      <c r="B346" s="4" t="s">
        <v>1841</v>
      </c>
      <c r="D346" s="4" t="s">
        <v>1842</v>
      </c>
      <c r="E346" s="4" t="s">
        <v>1843</v>
      </c>
      <c r="F346" s="4" t="s">
        <v>151</v>
      </c>
      <c r="G346" s="4" t="s">
        <v>89</v>
      </c>
      <c r="H346" s="4">
        <v>2</v>
      </c>
      <c r="I346" s="4" t="s">
        <v>1844</v>
      </c>
      <c r="K346" s="4" t="s">
        <v>153</v>
      </c>
      <c r="L346" s="4" t="s">
        <v>92</v>
      </c>
      <c r="M346" s="4" t="s">
        <v>154</v>
      </c>
      <c r="N346" s="4">
        <f>1.5/1000</f>
        <v>1.5E-3</v>
      </c>
      <c r="O346" s="4" t="s">
        <v>2415</v>
      </c>
      <c r="Q346" s="4" t="s">
        <v>52</v>
      </c>
      <c r="R346" s="4" t="s">
        <v>44</v>
      </c>
      <c r="W346" s="4" t="s">
        <v>2327</v>
      </c>
      <c r="X346" s="4" t="s">
        <v>1845</v>
      </c>
      <c r="Y346" s="4" t="s">
        <v>1846</v>
      </c>
      <c r="AB346" s="6">
        <v>44721</v>
      </c>
      <c r="AC346" s="6">
        <v>45062</v>
      </c>
      <c r="AD346" s="6">
        <v>44739</v>
      </c>
    </row>
    <row r="347" spans="1:30" x14ac:dyDescent="0.35">
      <c r="A347" s="7" t="s">
        <v>2241</v>
      </c>
      <c r="B347" s="4" t="s">
        <v>2107</v>
      </c>
      <c r="C347" s="4" t="s">
        <v>1837</v>
      </c>
      <c r="D347" s="4" t="s">
        <v>1838</v>
      </c>
      <c r="E347" s="4" t="s">
        <v>1839</v>
      </c>
      <c r="F347" s="4" t="s">
        <v>151</v>
      </c>
      <c r="G347" s="4" t="s">
        <v>89</v>
      </c>
      <c r="K347" s="4" t="s">
        <v>153</v>
      </c>
      <c r="L347" s="4" t="s">
        <v>92</v>
      </c>
      <c r="M347" s="4" t="s">
        <v>154</v>
      </c>
      <c r="N347" s="4">
        <f>1.33/1000</f>
        <v>1.33E-3</v>
      </c>
      <c r="O347" s="4" t="s">
        <v>2415</v>
      </c>
      <c r="Q347" s="4" t="s">
        <v>52</v>
      </c>
      <c r="W347" s="4" t="s">
        <v>2548</v>
      </c>
      <c r="Y347" s="4" t="s">
        <v>2549</v>
      </c>
      <c r="Z347" s="4" t="s">
        <v>2566</v>
      </c>
      <c r="AB347" s="6"/>
      <c r="AC347" s="6"/>
      <c r="AD347" s="6">
        <v>44739</v>
      </c>
    </row>
    <row r="348" spans="1:30" x14ac:dyDescent="0.35">
      <c r="A348" s="7" t="s">
        <v>2242</v>
      </c>
      <c r="B348" s="4" t="s">
        <v>1847</v>
      </c>
      <c r="D348" s="4" t="s">
        <v>1848</v>
      </c>
      <c r="E348" s="4" t="s">
        <v>1849</v>
      </c>
      <c r="G348" s="4" t="s">
        <v>89</v>
      </c>
      <c r="H348" s="4">
        <v>2</v>
      </c>
      <c r="K348" s="4" t="s">
        <v>133</v>
      </c>
      <c r="L348" s="4" t="s">
        <v>92</v>
      </c>
      <c r="M348" s="4" t="s">
        <v>1850</v>
      </c>
      <c r="N348" s="4">
        <f>24.2/1000</f>
        <v>2.4199999999999999E-2</v>
      </c>
      <c r="O348" s="4" t="s">
        <v>104</v>
      </c>
      <c r="P348" s="4" t="s">
        <v>35</v>
      </c>
      <c r="Q348" s="4" t="s">
        <v>104</v>
      </c>
      <c r="R348" s="4" t="s">
        <v>35</v>
      </c>
      <c r="S348" s="4" t="s">
        <v>105</v>
      </c>
      <c r="T348" s="4" t="s">
        <v>52</v>
      </c>
      <c r="U348" s="4" t="s">
        <v>44</v>
      </c>
      <c r="W348" s="4" t="s">
        <v>2625</v>
      </c>
      <c r="X348" s="4" t="s">
        <v>2362</v>
      </c>
      <c r="Y348" s="4" t="s">
        <v>2463</v>
      </c>
      <c r="AB348" s="6">
        <v>44721</v>
      </c>
      <c r="AC348" s="6">
        <v>45062</v>
      </c>
      <c r="AD348" s="6">
        <v>44739</v>
      </c>
    </row>
    <row r="349" spans="1:30" x14ac:dyDescent="0.35">
      <c r="A349" s="7" t="s">
        <v>1851</v>
      </c>
      <c r="B349" s="4" t="s">
        <v>1852</v>
      </c>
      <c r="D349" s="4" t="s">
        <v>1853</v>
      </c>
      <c r="G349" s="4" t="s">
        <v>89</v>
      </c>
      <c r="I349" s="4" t="s">
        <v>1854</v>
      </c>
      <c r="J349" s="4" t="s">
        <v>8</v>
      </c>
      <c r="K349" s="4" t="s">
        <v>112</v>
      </c>
      <c r="L349" s="4" t="s">
        <v>33</v>
      </c>
      <c r="M349" s="4" t="s">
        <v>33</v>
      </c>
      <c r="N349" s="4">
        <f>26.44/1000</f>
        <v>2.6440000000000002E-2</v>
      </c>
      <c r="O349" s="4" t="s">
        <v>52</v>
      </c>
      <c r="Q349" s="4" t="s">
        <v>52</v>
      </c>
      <c r="W349" s="4" t="s">
        <v>2464</v>
      </c>
      <c r="Y349" s="4" t="s">
        <v>2465</v>
      </c>
      <c r="AB349" s="6">
        <v>44721</v>
      </c>
      <c r="AC349" s="6"/>
      <c r="AD349" s="6">
        <v>45099</v>
      </c>
    </row>
    <row r="350" spans="1:30" x14ac:dyDescent="0.35">
      <c r="A350" s="7" t="s">
        <v>1855</v>
      </c>
      <c r="B350" s="4" t="s">
        <v>1856</v>
      </c>
      <c r="C350" s="4" t="s">
        <v>1857</v>
      </c>
      <c r="D350" s="4" t="s">
        <v>1858</v>
      </c>
      <c r="E350" s="4" t="s">
        <v>1859</v>
      </c>
      <c r="K350" s="4" t="s">
        <v>112</v>
      </c>
      <c r="L350" s="4" t="s">
        <v>33</v>
      </c>
      <c r="M350" s="4" t="s">
        <v>33</v>
      </c>
      <c r="X350" s="4" t="s">
        <v>1860</v>
      </c>
      <c r="Y350" s="4" t="s">
        <v>1861</v>
      </c>
      <c r="AA350" s="4" t="s">
        <v>168</v>
      </c>
      <c r="AB350" s="6">
        <v>44728</v>
      </c>
      <c r="AC350" s="6"/>
    </row>
    <row r="351" spans="1:30" x14ac:dyDescent="0.35">
      <c r="A351" s="7" t="s">
        <v>1862</v>
      </c>
      <c r="B351" s="4" t="s">
        <v>1863</v>
      </c>
      <c r="D351" s="4" t="s">
        <v>1864</v>
      </c>
      <c r="E351" s="4" t="s">
        <v>1865</v>
      </c>
      <c r="G351" s="4" t="s">
        <v>73</v>
      </c>
      <c r="H351" s="4">
        <v>1</v>
      </c>
      <c r="I351" s="4" t="s">
        <v>1866</v>
      </c>
      <c r="K351" s="4" t="s">
        <v>112</v>
      </c>
      <c r="L351" s="4" t="s">
        <v>33</v>
      </c>
      <c r="M351" s="4" t="s">
        <v>33</v>
      </c>
      <c r="N351" s="4">
        <f>4.86/1000</f>
        <v>4.8600000000000006E-3</v>
      </c>
      <c r="O351" s="4" t="s">
        <v>52</v>
      </c>
      <c r="Q351" s="4" t="s">
        <v>52</v>
      </c>
      <c r="AB351" s="6">
        <v>44721</v>
      </c>
      <c r="AC351" s="6"/>
      <c r="AD351" s="6">
        <v>45099</v>
      </c>
    </row>
    <row r="352" spans="1:30" x14ac:dyDescent="0.35">
      <c r="A352" s="7" t="s">
        <v>2243</v>
      </c>
      <c r="B352" s="4" t="s">
        <v>1867</v>
      </c>
      <c r="D352" s="4" t="s">
        <v>1868</v>
      </c>
      <c r="E352" s="4" t="s">
        <v>1869</v>
      </c>
      <c r="G352" s="4" t="s">
        <v>73</v>
      </c>
      <c r="H352" s="4">
        <v>5</v>
      </c>
      <c r="I352" s="4" t="s">
        <v>1870</v>
      </c>
      <c r="K352" s="4" t="s">
        <v>112</v>
      </c>
      <c r="L352" s="4" t="s">
        <v>33</v>
      </c>
      <c r="M352" s="4" t="s">
        <v>33</v>
      </c>
      <c r="N352" s="4">
        <f>3/1000</f>
        <v>3.0000000000000001E-3</v>
      </c>
      <c r="O352" s="4" t="s">
        <v>52</v>
      </c>
      <c r="Q352" s="4" t="s">
        <v>52</v>
      </c>
      <c r="AB352" s="6">
        <v>44721</v>
      </c>
      <c r="AC352" s="6">
        <v>45099</v>
      </c>
      <c r="AD352" s="6">
        <v>45099</v>
      </c>
    </row>
    <row r="353" spans="1:30" x14ac:dyDescent="0.35">
      <c r="A353" s="7" t="s">
        <v>1871</v>
      </c>
      <c r="B353" s="4" t="s">
        <v>1872</v>
      </c>
      <c r="D353" s="4" t="s">
        <v>1873</v>
      </c>
      <c r="E353" s="4" t="s">
        <v>1874</v>
      </c>
      <c r="F353" s="4" t="s">
        <v>30</v>
      </c>
      <c r="G353" s="4" t="s">
        <v>73</v>
      </c>
      <c r="H353" s="4">
        <v>10</v>
      </c>
      <c r="I353" s="4" t="s">
        <v>1875</v>
      </c>
      <c r="K353" s="4" t="s">
        <v>112</v>
      </c>
      <c r="L353" s="4" t="s">
        <v>33</v>
      </c>
      <c r="M353" s="4" t="s">
        <v>33</v>
      </c>
      <c r="N353" s="4">
        <f>1.15/1000</f>
        <v>1.15E-3</v>
      </c>
      <c r="O353" s="4" t="s">
        <v>52</v>
      </c>
      <c r="Q353" s="4" t="s">
        <v>52</v>
      </c>
      <c r="W353" s="4" t="s">
        <v>2509</v>
      </c>
      <c r="X353" s="4" t="s">
        <v>1876</v>
      </c>
      <c r="Y353" s="4" t="s">
        <v>2510</v>
      </c>
      <c r="AB353" s="6">
        <v>44721</v>
      </c>
      <c r="AC353" s="6"/>
      <c r="AD353" s="6">
        <v>45099</v>
      </c>
    </row>
    <row r="354" spans="1:30" x14ac:dyDescent="0.35">
      <c r="A354" s="7" t="s">
        <v>1877</v>
      </c>
      <c r="B354" s="4" t="s">
        <v>1878</v>
      </c>
      <c r="C354" s="4" t="s">
        <v>1879</v>
      </c>
      <c r="D354" s="4" t="s">
        <v>1880</v>
      </c>
      <c r="E354" s="4" t="s">
        <v>1881</v>
      </c>
      <c r="G354" s="4" t="s">
        <v>73</v>
      </c>
      <c r="H354" s="4">
        <v>1.2</v>
      </c>
      <c r="I354" s="4" t="s">
        <v>1882</v>
      </c>
      <c r="J354" s="4" t="s">
        <v>8</v>
      </c>
      <c r="K354" s="4" t="s">
        <v>112</v>
      </c>
      <c r="L354" s="4" t="s">
        <v>33</v>
      </c>
      <c r="M354" s="4" t="s">
        <v>33</v>
      </c>
      <c r="N354" s="4">
        <f>2.78/1000</f>
        <v>2.7799999999999999E-3</v>
      </c>
      <c r="O354" s="4" t="s">
        <v>52</v>
      </c>
      <c r="Q354" s="4" t="s">
        <v>52</v>
      </c>
      <c r="W354" s="4" t="s">
        <v>2525</v>
      </c>
      <c r="X354" s="4" t="s">
        <v>2524</v>
      </c>
      <c r="Y354" s="4" t="s">
        <v>1861</v>
      </c>
      <c r="AB354" s="6">
        <v>44721</v>
      </c>
      <c r="AC354" s="6"/>
      <c r="AD354" s="6">
        <v>45099</v>
      </c>
    </row>
    <row r="355" spans="1:30" x14ac:dyDescent="0.35">
      <c r="A355" s="7" t="s">
        <v>1883</v>
      </c>
      <c r="B355" s="4" t="s">
        <v>1884</v>
      </c>
      <c r="D355" s="4" t="s">
        <v>1885</v>
      </c>
      <c r="E355" s="4" t="s">
        <v>1886</v>
      </c>
      <c r="G355" s="4" t="s">
        <v>100</v>
      </c>
      <c r="H355" s="4">
        <v>8</v>
      </c>
      <c r="I355" s="4" t="s">
        <v>1887</v>
      </c>
      <c r="K355" s="4" t="s">
        <v>798</v>
      </c>
      <c r="L355" s="4" t="s">
        <v>33</v>
      </c>
      <c r="M355" s="4" t="s">
        <v>33</v>
      </c>
      <c r="N355" s="4">
        <f>6.32/1000</f>
        <v>6.3200000000000001E-3</v>
      </c>
      <c r="O355" s="4" t="s">
        <v>52</v>
      </c>
      <c r="Q355" s="4" t="s">
        <v>52</v>
      </c>
      <c r="W355" s="4" t="s">
        <v>2466</v>
      </c>
      <c r="X355" s="4" t="s">
        <v>1888</v>
      </c>
      <c r="Y355" s="4" t="s">
        <v>2467</v>
      </c>
      <c r="AB355" s="6">
        <v>44721</v>
      </c>
      <c r="AC355" s="6"/>
      <c r="AD355" s="6">
        <v>45099</v>
      </c>
    </row>
    <row r="356" spans="1:30" s="3" customFormat="1" x14ac:dyDescent="0.35">
      <c r="A356" s="7" t="s">
        <v>1898</v>
      </c>
      <c r="B356" s="4" t="s">
        <v>1899</v>
      </c>
      <c r="C356" s="4"/>
      <c r="D356" s="4" t="s">
        <v>1900</v>
      </c>
      <c r="E356" s="4"/>
      <c r="F356" s="4"/>
      <c r="G356" s="4" t="s">
        <v>73</v>
      </c>
      <c r="H356" s="4">
        <v>3</v>
      </c>
      <c r="I356" s="4"/>
      <c r="J356" s="4"/>
      <c r="K356" s="4" t="s">
        <v>378</v>
      </c>
      <c r="L356" s="4" t="s">
        <v>92</v>
      </c>
      <c r="M356" s="4" t="s">
        <v>656</v>
      </c>
      <c r="N356" s="4">
        <f>14.54/1000</f>
        <v>1.4539999999999999E-2</v>
      </c>
      <c r="O356" s="4" t="s">
        <v>94</v>
      </c>
      <c r="P356" s="4"/>
      <c r="Q356" s="4" t="s">
        <v>94</v>
      </c>
      <c r="R356" s="4" t="s">
        <v>35</v>
      </c>
      <c r="S356" s="4" t="s">
        <v>105</v>
      </c>
      <c r="T356" s="4" t="s">
        <v>44</v>
      </c>
      <c r="U356" s="4"/>
      <c r="V356" s="4" t="s">
        <v>1901</v>
      </c>
      <c r="W356" s="4" t="s">
        <v>1902</v>
      </c>
      <c r="X356" s="4"/>
      <c r="Y356" s="4" t="s">
        <v>1903</v>
      </c>
      <c r="Z356" s="4"/>
      <c r="AA356" s="4"/>
      <c r="AB356" s="6">
        <v>44721</v>
      </c>
      <c r="AC356" s="6"/>
      <c r="AD356" s="6">
        <v>44739</v>
      </c>
    </row>
    <row r="357" spans="1:30" s="3" customFormat="1" x14ac:dyDescent="0.35">
      <c r="A357" s="7" t="s">
        <v>2256</v>
      </c>
      <c r="B357" s="4" t="s">
        <v>2103</v>
      </c>
      <c r="C357" s="4" t="s">
        <v>2255</v>
      </c>
      <c r="D357" s="4"/>
      <c r="E357" s="4"/>
      <c r="F357" s="4"/>
      <c r="G357" s="4"/>
      <c r="H357" s="4"/>
      <c r="I357" s="4"/>
      <c r="J357" s="4"/>
      <c r="K357" s="4"/>
      <c r="L357" s="4" t="s">
        <v>297</v>
      </c>
      <c r="M357" s="4"/>
      <c r="N357" s="4"/>
      <c r="O357" s="4"/>
      <c r="P357" s="4"/>
      <c r="Q357" s="4"/>
      <c r="R357" s="4"/>
      <c r="S357" s="4"/>
      <c r="T357" s="4"/>
      <c r="U357" s="4"/>
      <c r="V357" s="4"/>
      <c r="W357" s="4"/>
      <c r="X357" s="4"/>
      <c r="Y357" s="4"/>
      <c r="Z357" s="4"/>
      <c r="AA357" s="4"/>
      <c r="AB357" s="6"/>
      <c r="AC357" s="6"/>
      <c r="AD357" s="6"/>
    </row>
    <row r="358" spans="1:30" s="3" customFormat="1" x14ac:dyDescent="0.35">
      <c r="A358" s="7" t="s">
        <v>2244</v>
      </c>
      <c r="B358" s="4" t="s">
        <v>1904</v>
      </c>
      <c r="C358" s="4"/>
      <c r="D358" s="4" t="s">
        <v>1905</v>
      </c>
      <c r="E358" s="4"/>
      <c r="F358" s="4"/>
      <c r="G358" s="4" t="s">
        <v>73</v>
      </c>
      <c r="H358" s="4">
        <v>1.5</v>
      </c>
      <c r="I358" s="4"/>
      <c r="J358" s="4"/>
      <c r="K358" s="4" t="s">
        <v>235</v>
      </c>
      <c r="L358" s="4" t="s">
        <v>92</v>
      </c>
      <c r="M358" s="4" t="s">
        <v>154</v>
      </c>
      <c r="N358" s="4">
        <f>0.05424/1000</f>
        <v>5.4239999999999996E-5</v>
      </c>
      <c r="O358" s="4" t="s">
        <v>2415</v>
      </c>
      <c r="P358" s="4"/>
      <c r="Q358" s="4" t="s">
        <v>2071</v>
      </c>
      <c r="R358" s="4" t="s">
        <v>44</v>
      </c>
      <c r="S358" s="4"/>
      <c r="T358" s="4"/>
      <c r="U358" s="4"/>
      <c r="V358" s="4"/>
      <c r="W358" s="4" t="s">
        <v>2384</v>
      </c>
      <c r="X358" s="4"/>
      <c r="Y358" s="4" t="s">
        <v>2385</v>
      </c>
      <c r="Z358" s="4" t="s">
        <v>2566</v>
      </c>
      <c r="AA358" s="4"/>
      <c r="AB358" s="6">
        <v>44721</v>
      </c>
      <c r="AC358" s="6"/>
      <c r="AD358" s="6">
        <v>44739</v>
      </c>
    </row>
    <row r="359" spans="1:30" s="3" customFormat="1" x14ac:dyDescent="0.35">
      <c r="A359" s="7" t="s">
        <v>2245</v>
      </c>
      <c r="B359" s="4" t="s">
        <v>2270</v>
      </c>
      <c r="C359" s="4" t="s">
        <v>1906</v>
      </c>
      <c r="D359" s="4" t="s">
        <v>1907</v>
      </c>
      <c r="E359" s="4" t="s">
        <v>1908</v>
      </c>
      <c r="F359" s="4"/>
      <c r="G359" s="4"/>
      <c r="H359" s="4"/>
      <c r="I359" s="4"/>
      <c r="J359" s="4"/>
      <c r="K359" s="4" t="s">
        <v>153</v>
      </c>
      <c r="L359" s="4" t="s">
        <v>92</v>
      </c>
      <c r="M359" s="4"/>
      <c r="N359" s="4"/>
      <c r="O359" s="4"/>
      <c r="P359" s="4"/>
      <c r="Q359" s="4"/>
      <c r="R359" s="4"/>
      <c r="S359" s="4"/>
      <c r="T359" s="4"/>
      <c r="U359" s="4"/>
      <c r="V359" s="4"/>
      <c r="W359" s="4"/>
      <c r="X359" s="4"/>
      <c r="Y359" s="4"/>
      <c r="Z359" s="4"/>
      <c r="AA359" s="4" t="s">
        <v>154</v>
      </c>
      <c r="AB359" s="6">
        <v>44728</v>
      </c>
      <c r="AC359" s="6"/>
      <c r="AD359" s="4"/>
    </row>
    <row r="360" spans="1:30" s="3" customFormat="1" x14ac:dyDescent="0.35">
      <c r="A360" s="7" t="s">
        <v>2246</v>
      </c>
      <c r="B360" s="4" t="s">
        <v>2271</v>
      </c>
      <c r="C360" s="4" t="s">
        <v>1889</v>
      </c>
      <c r="D360" s="4" t="s">
        <v>1890</v>
      </c>
      <c r="E360" s="4" t="s">
        <v>1891</v>
      </c>
      <c r="F360" s="4"/>
      <c r="G360" s="4"/>
      <c r="H360" s="4"/>
      <c r="I360" s="4"/>
      <c r="J360" s="4"/>
      <c r="K360" s="4" t="s">
        <v>153</v>
      </c>
      <c r="L360" s="4" t="s">
        <v>169</v>
      </c>
      <c r="M360" s="4"/>
      <c r="N360" s="4"/>
      <c r="O360" s="4"/>
      <c r="P360" s="4"/>
      <c r="Q360" s="4"/>
      <c r="R360" s="4"/>
      <c r="S360" s="4"/>
      <c r="T360" s="4"/>
      <c r="U360" s="4"/>
      <c r="V360" s="4"/>
      <c r="W360" s="4"/>
      <c r="X360" s="4"/>
      <c r="Y360" s="4"/>
      <c r="Z360" s="4"/>
      <c r="AA360" s="4" t="s">
        <v>154</v>
      </c>
      <c r="AB360" s="6">
        <v>44721</v>
      </c>
      <c r="AC360" s="6"/>
      <c r="AD360" s="4"/>
    </row>
    <row r="361" spans="1:30" s="3" customFormat="1" x14ac:dyDescent="0.35">
      <c r="A361" s="7" t="s">
        <v>2247</v>
      </c>
      <c r="B361" s="4" t="s">
        <v>2273</v>
      </c>
      <c r="C361" s="4" t="s">
        <v>1892</v>
      </c>
      <c r="D361" s="4" t="s">
        <v>1893</v>
      </c>
      <c r="E361" s="4" t="s">
        <v>1894</v>
      </c>
      <c r="F361" s="4" t="s">
        <v>151</v>
      </c>
      <c r="G361" s="4" t="s">
        <v>89</v>
      </c>
      <c r="H361" s="4">
        <v>1</v>
      </c>
      <c r="I361" s="4" t="s">
        <v>1895</v>
      </c>
      <c r="J361" s="4"/>
      <c r="K361" s="4" t="s">
        <v>153</v>
      </c>
      <c r="L361" s="4" t="s">
        <v>169</v>
      </c>
      <c r="M361" s="4" t="s">
        <v>154</v>
      </c>
      <c r="N361" s="4"/>
      <c r="O361" s="4" t="s">
        <v>2415</v>
      </c>
      <c r="P361" s="4"/>
      <c r="Q361" s="4" t="s">
        <v>44</v>
      </c>
      <c r="R361" s="4" t="s">
        <v>2071</v>
      </c>
      <c r="S361" s="4"/>
      <c r="T361" s="4"/>
      <c r="U361" s="4"/>
      <c r="V361" s="4"/>
      <c r="W361" s="4" t="s">
        <v>1896</v>
      </c>
      <c r="X361" s="4" t="s">
        <v>1897</v>
      </c>
      <c r="Y361" s="4"/>
      <c r="Z361" s="4" t="s">
        <v>2566</v>
      </c>
      <c r="AA361" s="4"/>
      <c r="AB361" s="6">
        <v>44721</v>
      </c>
      <c r="AC361" s="6">
        <v>45062</v>
      </c>
      <c r="AD361" s="4"/>
    </row>
    <row r="362" spans="1:30" x14ac:dyDescent="0.35">
      <c r="A362" s="7" t="s">
        <v>1909</v>
      </c>
      <c r="B362" s="4" t="s">
        <v>1910</v>
      </c>
      <c r="D362" s="4" t="s">
        <v>1911</v>
      </c>
      <c r="E362" s="4" t="s">
        <v>1912</v>
      </c>
      <c r="F362" s="4" t="s">
        <v>151</v>
      </c>
      <c r="G362" s="4" t="s">
        <v>89</v>
      </c>
      <c r="H362" s="4">
        <v>0.25</v>
      </c>
      <c r="I362" s="4" t="s">
        <v>1913</v>
      </c>
      <c r="K362" s="4" t="s">
        <v>153</v>
      </c>
      <c r="L362" s="4" t="s">
        <v>92</v>
      </c>
      <c r="M362" s="4" t="s">
        <v>841</v>
      </c>
      <c r="N362" s="4">
        <f>1.7748/1000</f>
        <v>1.7748E-3</v>
      </c>
      <c r="O362" s="4" t="s">
        <v>44</v>
      </c>
      <c r="Q362" s="4" t="s">
        <v>44</v>
      </c>
      <c r="R362" s="4" t="s">
        <v>2071</v>
      </c>
      <c r="S362" s="4" t="s">
        <v>105</v>
      </c>
      <c r="W362" s="4" t="s">
        <v>2427</v>
      </c>
      <c r="X362" s="4" t="s">
        <v>1914</v>
      </c>
      <c r="Y362" s="20" t="s">
        <v>2426</v>
      </c>
      <c r="AB362" s="6">
        <v>44721</v>
      </c>
      <c r="AC362" s="6">
        <v>45062</v>
      </c>
      <c r="AD362" s="6">
        <v>44739</v>
      </c>
    </row>
    <row r="363" spans="1:30" s="3" customFormat="1" x14ac:dyDescent="0.35">
      <c r="A363" s="7" t="s">
        <v>2248</v>
      </c>
      <c r="B363" s="4" t="s">
        <v>2109</v>
      </c>
      <c r="C363" s="4" t="s">
        <v>816</v>
      </c>
      <c r="D363" s="4" t="s">
        <v>817</v>
      </c>
      <c r="E363" s="4" t="s">
        <v>2118</v>
      </c>
      <c r="F363" s="4" t="s">
        <v>30</v>
      </c>
      <c r="G363" s="4" t="s">
        <v>73</v>
      </c>
      <c r="H363" s="4">
        <v>10</v>
      </c>
      <c r="I363" s="4" t="s">
        <v>2119</v>
      </c>
      <c r="J363" s="4"/>
      <c r="K363" s="4" t="s">
        <v>1921</v>
      </c>
      <c r="L363" s="4" t="s">
        <v>33</v>
      </c>
      <c r="M363" s="4" t="s">
        <v>33</v>
      </c>
      <c r="N363" s="4">
        <f>97.92/1000</f>
        <v>9.7920000000000007E-2</v>
      </c>
      <c r="O363" s="4" t="s">
        <v>52</v>
      </c>
      <c r="P363" s="4"/>
      <c r="Q363" s="4" t="s">
        <v>52</v>
      </c>
      <c r="R363" s="4"/>
      <c r="S363" s="4"/>
      <c r="T363" s="4"/>
      <c r="U363" s="4"/>
      <c r="V363" s="4"/>
      <c r="W363" s="4" t="s">
        <v>657</v>
      </c>
      <c r="X363" s="4" t="s">
        <v>2120</v>
      </c>
      <c r="Y363" s="14"/>
      <c r="Z363" s="4"/>
      <c r="AA363" s="4"/>
      <c r="AB363" s="6"/>
      <c r="AC363" s="6"/>
      <c r="AD363" s="6">
        <v>44733</v>
      </c>
    </row>
    <row r="364" spans="1:30" x14ac:dyDescent="0.35">
      <c r="A364" s="7" t="s">
        <v>1915</v>
      </c>
      <c r="B364" s="4" t="s">
        <v>1916</v>
      </c>
      <c r="C364" s="4" t="s">
        <v>1917</v>
      </c>
      <c r="D364" s="4" t="s">
        <v>1918</v>
      </c>
      <c r="E364" s="4" t="s">
        <v>1919</v>
      </c>
      <c r="G364" s="4" t="s">
        <v>100</v>
      </c>
      <c r="H364" s="4">
        <v>15</v>
      </c>
      <c r="I364" s="4" t="s">
        <v>1920</v>
      </c>
      <c r="K364" s="4" t="s">
        <v>1921</v>
      </c>
      <c r="L364" s="4" t="s">
        <v>33</v>
      </c>
      <c r="M364" s="4" t="s">
        <v>33</v>
      </c>
      <c r="N364" s="4">
        <f>173.15/1000</f>
        <v>0.17315</v>
      </c>
      <c r="O364" s="4" t="s">
        <v>52</v>
      </c>
      <c r="Q364" s="4" t="s">
        <v>52</v>
      </c>
      <c r="W364" s="4" t="s">
        <v>2328</v>
      </c>
      <c r="X364" s="4" t="s">
        <v>1922</v>
      </c>
      <c r="AB364" s="6">
        <v>44721</v>
      </c>
      <c r="AC364" s="6"/>
      <c r="AD364" s="6">
        <v>45099</v>
      </c>
    </row>
    <row r="365" spans="1:30" x14ac:dyDescent="0.35">
      <c r="A365" s="7" t="s">
        <v>2249</v>
      </c>
      <c r="B365" s="4" t="s">
        <v>1924</v>
      </c>
      <c r="C365" s="4" t="s">
        <v>1923</v>
      </c>
      <c r="D365" s="4" t="s">
        <v>1925</v>
      </c>
      <c r="E365" s="4" t="s">
        <v>1926</v>
      </c>
      <c r="G365" s="4" t="s">
        <v>73</v>
      </c>
      <c r="H365" s="4">
        <v>4</v>
      </c>
      <c r="K365" s="4" t="s">
        <v>91</v>
      </c>
      <c r="L365" s="4" t="s">
        <v>92</v>
      </c>
      <c r="N365" s="4">
        <f>2.1476/1000</f>
        <v>2.1476000000000004E-3</v>
      </c>
      <c r="W365" s="4" t="s">
        <v>25</v>
      </c>
      <c r="X365" s="4" t="s">
        <v>1927</v>
      </c>
      <c r="Y365" s="4" t="s">
        <v>1928</v>
      </c>
      <c r="AA365" s="4" t="s">
        <v>168</v>
      </c>
      <c r="AB365" s="6">
        <v>44721</v>
      </c>
      <c r="AC365" s="6"/>
      <c r="AD365" s="6">
        <v>44739</v>
      </c>
    </row>
    <row r="366" spans="1:30" s="7" customFormat="1" x14ac:dyDescent="0.35">
      <c r="A366" s="4" t="s">
        <v>2257</v>
      </c>
      <c r="B366" s="4" t="s">
        <v>2272</v>
      </c>
      <c r="C366" s="7" t="s">
        <v>2259</v>
      </c>
      <c r="D366" s="4" t="s">
        <v>1929</v>
      </c>
      <c r="E366" s="4" t="s">
        <v>2278</v>
      </c>
      <c r="F366" s="4" t="s">
        <v>151</v>
      </c>
      <c r="G366" s="4" t="s">
        <v>89</v>
      </c>
      <c r="H366" s="4">
        <v>1.25</v>
      </c>
      <c r="I366" s="4" t="s">
        <v>1930</v>
      </c>
      <c r="J366" s="4"/>
      <c r="K366" s="4" t="s">
        <v>153</v>
      </c>
      <c r="L366" s="4" t="s">
        <v>92</v>
      </c>
      <c r="M366" s="4" t="s">
        <v>154</v>
      </c>
      <c r="N366" s="4"/>
      <c r="O366" s="4" t="s">
        <v>44</v>
      </c>
      <c r="P366" s="4"/>
      <c r="Q366" s="4" t="s">
        <v>44</v>
      </c>
      <c r="R366" s="4"/>
      <c r="S366" s="4"/>
      <c r="T366" s="4"/>
      <c r="U366" s="4"/>
      <c r="V366" s="4"/>
      <c r="W366" s="4" t="s">
        <v>1931</v>
      </c>
      <c r="X366" s="8" t="s">
        <v>1932</v>
      </c>
      <c r="Y366" s="4" t="s">
        <v>1933</v>
      </c>
      <c r="Z366" s="4"/>
      <c r="AA366" s="4"/>
      <c r="AB366" s="6">
        <v>45062</v>
      </c>
      <c r="AC366" s="6">
        <v>45062</v>
      </c>
      <c r="AD366" s="6">
        <v>45062</v>
      </c>
    </row>
    <row r="367" spans="1:30" s="7" customFormat="1" x14ac:dyDescent="0.35">
      <c r="A367" s="4" t="s">
        <v>2258</v>
      </c>
      <c r="B367" s="4" t="s">
        <v>2104</v>
      </c>
      <c r="C367" s="7" t="s">
        <v>2263</v>
      </c>
      <c r="D367" s="4" t="s">
        <v>2161</v>
      </c>
      <c r="E367" s="4" t="s">
        <v>2277</v>
      </c>
      <c r="F367" s="4" t="s">
        <v>151</v>
      </c>
      <c r="G367" s="4" t="s">
        <v>89</v>
      </c>
      <c r="H367" s="4">
        <v>2</v>
      </c>
      <c r="I367" s="4"/>
      <c r="J367" s="4"/>
      <c r="K367" s="4" t="s">
        <v>153</v>
      </c>
      <c r="L367" s="4" t="s">
        <v>92</v>
      </c>
      <c r="M367" s="4" t="s">
        <v>154</v>
      </c>
      <c r="N367" s="4"/>
      <c r="O367" s="4" t="s">
        <v>2415</v>
      </c>
      <c r="P367" s="4"/>
      <c r="Q367" s="4" t="s">
        <v>52</v>
      </c>
      <c r="R367" s="4"/>
      <c r="S367" s="4"/>
      <c r="T367" s="4"/>
      <c r="U367" s="4"/>
      <c r="V367" s="4"/>
      <c r="W367" s="4" t="s">
        <v>2386</v>
      </c>
      <c r="X367" s="4" t="s">
        <v>2162</v>
      </c>
      <c r="Y367" s="4"/>
      <c r="Z367" s="4" t="s">
        <v>2566</v>
      </c>
      <c r="AA367" s="4"/>
      <c r="AB367" s="6"/>
      <c r="AC367" s="6"/>
      <c r="AD367" s="6">
        <v>45202</v>
      </c>
    </row>
    <row r="368" spans="1:30" x14ac:dyDescent="0.35">
      <c r="A368" s="7" t="s">
        <v>1934</v>
      </c>
      <c r="B368" s="4" t="s">
        <v>1935</v>
      </c>
      <c r="D368" s="4" t="s">
        <v>1936</v>
      </c>
      <c r="E368" s="4" t="s">
        <v>1937</v>
      </c>
      <c r="G368" s="4" t="s">
        <v>89</v>
      </c>
      <c r="K368" s="4" t="s">
        <v>91</v>
      </c>
      <c r="L368" s="4" t="s">
        <v>92</v>
      </c>
      <c r="M368" s="4" t="s">
        <v>891</v>
      </c>
      <c r="N368" s="4">
        <f>25.11/1000</f>
        <v>2.511E-2</v>
      </c>
      <c r="O368" s="4" t="s">
        <v>94</v>
      </c>
      <c r="Q368" s="4" t="s">
        <v>94</v>
      </c>
      <c r="V368" s="4" t="s">
        <v>1938</v>
      </c>
      <c r="W368" s="4" t="s">
        <v>1939</v>
      </c>
      <c r="Y368" s="4" t="s">
        <v>1940</v>
      </c>
      <c r="AB368" s="6">
        <v>44721</v>
      </c>
      <c r="AC368" s="6">
        <v>44728</v>
      </c>
      <c r="AD368" s="6">
        <v>44739</v>
      </c>
    </row>
    <row r="369" spans="1:30" x14ac:dyDescent="0.35">
      <c r="A369" s="7" t="s">
        <v>1941</v>
      </c>
      <c r="B369" s="4" t="s">
        <v>1942</v>
      </c>
      <c r="D369" s="4" t="s">
        <v>1943</v>
      </c>
      <c r="G369" s="4" t="s">
        <v>73</v>
      </c>
      <c r="H369" s="4">
        <v>0.3</v>
      </c>
      <c r="I369" s="4" t="s">
        <v>1944</v>
      </c>
      <c r="J369" s="4" t="s">
        <v>8</v>
      </c>
      <c r="K369" s="4" t="s">
        <v>722</v>
      </c>
      <c r="L369" s="4" t="s">
        <v>92</v>
      </c>
      <c r="M369" s="4" t="s">
        <v>154</v>
      </c>
      <c r="N369" s="4">
        <f>1.38/1000</f>
        <v>1.3799999999999999E-3</v>
      </c>
      <c r="O369" s="4" t="s">
        <v>2415</v>
      </c>
      <c r="Q369" s="4" t="s">
        <v>44</v>
      </c>
      <c r="V369" s="4" t="s">
        <v>1945</v>
      </c>
      <c r="W369" s="4" t="s">
        <v>1946</v>
      </c>
      <c r="Y369" s="4" t="s">
        <v>1947</v>
      </c>
      <c r="Z369" s="4" t="s">
        <v>1948</v>
      </c>
      <c r="AB369" s="6">
        <v>44721</v>
      </c>
      <c r="AC369" s="6">
        <v>45062</v>
      </c>
      <c r="AD369" s="6">
        <v>44739</v>
      </c>
    </row>
    <row r="370" spans="1:30" x14ac:dyDescent="0.35">
      <c r="A370" s="7" t="s">
        <v>1949</v>
      </c>
      <c r="B370" s="4" t="s">
        <v>1950</v>
      </c>
      <c r="C370" s="4" t="s">
        <v>1951</v>
      </c>
      <c r="D370" s="4" t="s">
        <v>1952</v>
      </c>
      <c r="E370" s="4" t="s">
        <v>1953</v>
      </c>
      <c r="G370" s="4" t="s">
        <v>100</v>
      </c>
      <c r="H370" s="4">
        <v>5</v>
      </c>
      <c r="I370" s="4" t="s">
        <v>2085</v>
      </c>
      <c r="K370" s="4" t="s">
        <v>571</v>
      </c>
      <c r="L370" s="4" t="s">
        <v>33</v>
      </c>
      <c r="M370" s="4" t="s">
        <v>33</v>
      </c>
      <c r="N370" s="4">
        <f>63.08/1000</f>
        <v>6.3079999999999997E-2</v>
      </c>
      <c r="O370" s="4" t="s">
        <v>52</v>
      </c>
      <c r="Q370" s="4" t="s">
        <v>52</v>
      </c>
      <c r="W370" s="4" t="s">
        <v>1954</v>
      </c>
      <c r="X370" s="4" t="s">
        <v>1955</v>
      </c>
      <c r="Y370" s="4" t="s">
        <v>1956</v>
      </c>
      <c r="AB370" s="6">
        <v>44721</v>
      </c>
      <c r="AC370" s="6"/>
      <c r="AD370" s="6">
        <v>44734</v>
      </c>
    </row>
    <row r="371" spans="1:30" x14ac:dyDescent="0.35">
      <c r="A371" s="7" t="s">
        <v>2250</v>
      </c>
      <c r="B371" s="4" t="s">
        <v>1957</v>
      </c>
      <c r="D371" s="4" t="s">
        <v>1958</v>
      </c>
      <c r="E371" s="4" t="s">
        <v>1959</v>
      </c>
      <c r="G371" s="4" t="s">
        <v>100</v>
      </c>
      <c r="H371" s="4">
        <v>12</v>
      </c>
      <c r="I371" s="4" t="s">
        <v>1960</v>
      </c>
      <c r="J371" s="4" t="s">
        <v>8</v>
      </c>
      <c r="K371" s="4" t="s">
        <v>571</v>
      </c>
      <c r="L371" s="4" t="s">
        <v>33</v>
      </c>
      <c r="M371" s="4" t="s">
        <v>33</v>
      </c>
      <c r="N371" s="4">
        <f>181.28/1000</f>
        <v>0.18128</v>
      </c>
      <c r="O371" s="4" t="s">
        <v>52</v>
      </c>
      <c r="Q371" s="4" t="s">
        <v>52</v>
      </c>
      <c r="W371" s="4" t="s">
        <v>118</v>
      </c>
      <c r="X371" s="4" t="s">
        <v>1961</v>
      </c>
      <c r="AB371" s="6">
        <v>44721</v>
      </c>
      <c r="AC371" s="6">
        <v>45100</v>
      </c>
      <c r="AD371" s="6">
        <v>45100</v>
      </c>
    </row>
    <row r="372" spans="1:30" x14ac:dyDescent="0.35">
      <c r="A372" s="7" t="s">
        <v>1962</v>
      </c>
      <c r="B372" s="4" t="s">
        <v>1963</v>
      </c>
      <c r="D372" s="4" t="s">
        <v>1964</v>
      </c>
      <c r="G372" s="4" t="s">
        <v>89</v>
      </c>
      <c r="K372" s="4" t="s">
        <v>91</v>
      </c>
      <c r="L372" s="4" t="s">
        <v>92</v>
      </c>
      <c r="AA372" s="4" t="s">
        <v>154</v>
      </c>
      <c r="AB372" s="6">
        <v>44721</v>
      </c>
      <c r="AC372" s="6"/>
    </row>
    <row r="373" spans="1:30" x14ac:dyDescent="0.35">
      <c r="A373" s="7" t="s">
        <v>1965</v>
      </c>
      <c r="B373" s="4" t="s">
        <v>1966</v>
      </c>
      <c r="D373" s="4" t="s">
        <v>1967</v>
      </c>
      <c r="G373" s="4" t="s">
        <v>89</v>
      </c>
      <c r="H373" s="4">
        <v>2</v>
      </c>
      <c r="I373" s="4" t="s">
        <v>1968</v>
      </c>
      <c r="J373" s="4" t="s">
        <v>8</v>
      </c>
      <c r="K373" s="4" t="s">
        <v>1969</v>
      </c>
      <c r="L373" s="4" t="s">
        <v>92</v>
      </c>
      <c r="M373" s="4" t="s">
        <v>841</v>
      </c>
      <c r="N373" s="4">
        <f>146.7/1000</f>
        <v>0.1467</v>
      </c>
      <c r="O373" s="4" t="s">
        <v>44</v>
      </c>
      <c r="Q373" s="4" t="s">
        <v>44</v>
      </c>
      <c r="R373" s="4" t="s">
        <v>52</v>
      </c>
      <c r="W373" s="4" t="s">
        <v>2387</v>
      </c>
      <c r="X373" s="4" t="s">
        <v>1970</v>
      </c>
      <c r="Y373" s="4" t="s">
        <v>1971</v>
      </c>
      <c r="AB373" s="6">
        <v>44721</v>
      </c>
      <c r="AC373" s="6">
        <v>45063</v>
      </c>
      <c r="AD373" s="6">
        <v>44739</v>
      </c>
    </row>
    <row r="374" spans="1:30" x14ac:dyDescent="0.35">
      <c r="A374" s="7" t="s">
        <v>1972</v>
      </c>
      <c r="B374" s="4" t="s">
        <v>1973</v>
      </c>
      <c r="D374" s="4" t="s">
        <v>1974</v>
      </c>
      <c r="E374" s="4" t="s">
        <v>1975</v>
      </c>
      <c r="F374" s="4" t="s">
        <v>110</v>
      </c>
      <c r="G374" s="4" t="s">
        <v>73</v>
      </c>
      <c r="I374" s="4" t="s">
        <v>1976</v>
      </c>
      <c r="J374" s="4" t="s">
        <v>8</v>
      </c>
      <c r="K374" s="4" t="s">
        <v>847</v>
      </c>
      <c r="L374" s="4" t="s">
        <v>33</v>
      </c>
      <c r="M374" s="4" t="s">
        <v>33</v>
      </c>
      <c r="O374" s="4" t="s">
        <v>52</v>
      </c>
      <c r="Q374" s="4" t="s">
        <v>52</v>
      </c>
      <c r="W374" s="4" t="s">
        <v>1977</v>
      </c>
      <c r="X374" s="4" t="s">
        <v>1978</v>
      </c>
      <c r="AB374" s="6">
        <v>44721</v>
      </c>
      <c r="AC374" s="6">
        <v>45100</v>
      </c>
      <c r="AD374" s="6">
        <v>45100</v>
      </c>
    </row>
    <row r="375" spans="1:30" x14ac:dyDescent="0.35">
      <c r="A375" s="7" t="s">
        <v>1979</v>
      </c>
      <c r="B375" s="4" t="s">
        <v>1980</v>
      </c>
      <c r="D375" s="4" t="s">
        <v>1981</v>
      </c>
      <c r="E375" s="4" t="s">
        <v>1982</v>
      </c>
      <c r="G375" s="4" t="s">
        <v>89</v>
      </c>
      <c r="H375" s="4">
        <v>0.3</v>
      </c>
      <c r="I375" s="4" t="s">
        <v>1983</v>
      </c>
      <c r="K375" s="4" t="s">
        <v>133</v>
      </c>
      <c r="L375" s="4" t="s">
        <v>92</v>
      </c>
      <c r="M375" s="4" t="s">
        <v>134</v>
      </c>
      <c r="N375" s="4">
        <f>0.3/1000</f>
        <v>2.9999999999999997E-4</v>
      </c>
      <c r="O375" s="4" t="s">
        <v>104</v>
      </c>
      <c r="Q375" s="4" t="s">
        <v>104</v>
      </c>
      <c r="W375" s="4" t="s">
        <v>2586</v>
      </c>
      <c r="Y375" s="4" t="s">
        <v>1984</v>
      </c>
      <c r="AB375" s="6">
        <v>44721</v>
      </c>
      <c r="AC375" s="6"/>
      <c r="AD375" s="6">
        <v>44739</v>
      </c>
    </row>
    <row r="376" spans="1:30" x14ac:dyDescent="0.35">
      <c r="A376" s="7" t="s">
        <v>1985</v>
      </c>
      <c r="B376" s="4" t="s">
        <v>1986</v>
      </c>
      <c r="D376" s="4" t="s">
        <v>1987</v>
      </c>
      <c r="E376" s="4" t="s">
        <v>1988</v>
      </c>
      <c r="G376" s="4" t="s">
        <v>73</v>
      </c>
      <c r="H376" s="4">
        <v>2</v>
      </c>
      <c r="I376" s="4" t="s">
        <v>1989</v>
      </c>
      <c r="K376" s="4" t="s">
        <v>1921</v>
      </c>
      <c r="L376" s="4" t="s">
        <v>33</v>
      </c>
      <c r="M376" s="4" t="s">
        <v>33</v>
      </c>
      <c r="N376" s="4">
        <f>0.91/1000</f>
        <v>9.1E-4</v>
      </c>
      <c r="O376" s="4" t="s">
        <v>52</v>
      </c>
      <c r="Q376" s="4" t="s">
        <v>52</v>
      </c>
      <c r="W376" s="4" t="s">
        <v>1990</v>
      </c>
      <c r="X376" s="4" t="s">
        <v>1991</v>
      </c>
      <c r="AB376" s="6">
        <v>44721</v>
      </c>
      <c r="AC376" s="6">
        <v>45100</v>
      </c>
      <c r="AD376" s="6">
        <v>45100</v>
      </c>
    </row>
    <row r="377" spans="1:30" x14ac:dyDescent="0.35">
      <c r="A377" s="7" t="s">
        <v>1992</v>
      </c>
      <c r="B377" s="4" t="s">
        <v>1993</v>
      </c>
      <c r="D377" s="4" t="s">
        <v>1994</v>
      </c>
      <c r="G377" s="4" t="s">
        <v>73</v>
      </c>
      <c r="H377" s="4">
        <v>2</v>
      </c>
      <c r="I377" s="4" t="s">
        <v>1995</v>
      </c>
      <c r="J377" s="4" t="s">
        <v>8</v>
      </c>
      <c r="K377" s="4" t="s">
        <v>378</v>
      </c>
      <c r="L377" s="4" t="s">
        <v>92</v>
      </c>
      <c r="M377" s="4" t="s">
        <v>661</v>
      </c>
      <c r="N377" s="4">
        <f>6.54/1000</f>
        <v>6.5399999999999998E-3</v>
      </c>
      <c r="O377" s="4" t="s">
        <v>94</v>
      </c>
      <c r="P377" s="4" t="s">
        <v>35</v>
      </c>
      <c r="Q377" s="4" t="s">
        <v>94</v>
      </c>
      <c r="R377" s="4" t="s">
        <v>35</v>
      </c>
      <c r="S377" s="4" t="s">
        <v>44</v>
      </c>
      <c r="T377" s="4" t="s">
        <v>52</v>
      </c>
      <c r="U377" s="4" t="s">
        <v>105</v>
      </c>
      <c r="V377" s="4" t="s">
        <v>1996</v>
      </c>
      <c r="W377" s="4" t="s">
        <v>2488</v>
      </c>
      <c r="X377" s="4" t="s">
        <v>2489</v>
      </c>
      <c r="Y377" s="4" t="s">
        <v>1997</v>
      </c>
      <c r="AB377" s="6">
        <v>44721</v>
      </c>
      <c r="AC377" s="6">
        <v>45063</v>
      </c>
      <c r="AD377" s="6">
        <v>45063</v>
      </c>
    </row>
    <row r="378" spans="1:30" x14ac:dyDescent="0.35">
      <c r="A378" s="7" t="s">
        <v>1998</v>
      </c>
      <c r="B378" s="4" t="s">
        <v>1999</v>
      </c>
      <c r="L378" s="4" t="s">
        <v>2000</v>
      </c>
      <c r="AB378" s="6"/>
      <c r="AC378" s="6"/>
    </row>
    <row r="379" spans="1:30" x14ac:dyDescent="0.35">
      <c r="A379" s="7" t="s">
        <v>2001</v>
      </c>
      <c r="B379" s="4" t="s">
        <v>2002</v>
      </c>
      <c r="C379" s="4" t="s">
        <v>2003</v>
      </c>
      <c r="D379" s="4" t="s">
        <v>2004</v>
      </c>
      <c r="E379" s="4" t="s">
        <v>2005</v>
      </c>
      <c r="G379" s="4" t="s">
        <v>89</v>
      </c>
      <c r="H379" s="4">
        <v>0.3</v>
      </c>
      <c r="I379" s="4" t="s">
        <v>2006</v>
      </c>
      <c r="K379" s="4" t="s">
        <v>91</v>
      </c>
      <c r="L379" s="4" t="s">
        <v>169</v>
      </c>
      <c r="N379" s="4">
        <f>0.046/1000</f>
        <v>4.6E-5</v>
      </c>
      <c r="O379" s="4" t="s">
        <v>2415</v>
      </c>
      <c r="Q379" s="4" t="s">
        <v>44</v>
      </c>
      <c r="R379" s="4" t="s">
        <v>52</v>
      </c>
      <c r="W379" s="4" t="s">
        <v>2329</v>
      </c>
      <c r="X379" s="4" t="s">
        <v>2330</v>
      </c>
      <c r="Z379" s="4" t="s">
        <v>2566</v>
      </c>
      <c r="AB379" s="6">
        <v>44721</v>
      </c>
      <c r="AC379" s="6">
        <v>45063</v>
      </c>
      <c r="AD379" s="6">
        <v>45063</v>
      </c>
    </row>
    <row r="380" spans="1:30" x14ac:dyDescent="0.35">
      <c r="A380" s="7" t="s">
        <v>2007</v>
      </c>
      <c r="B380" s="4" t="s">
        <v>2008</v>
      </c>
      <c r="D380" s="4" t="s">
        <v>2009</v>
      </c>
      <c r="E380" s="4" t="s">
        <v>2010</v>
      </c>
      <c r="G380" s="4" t="s">
        <v>89</v>
      </c>
      <c r="I380" s="4" t="s">
        <v>2011</v>
      </c>
      <c r="J380" s="4" t="s">
        <v>8</v>
      </c>
      <c r="L380" s="4" t="s">
        <v>169</v>
      </c>
      <c r="X380" s="4" t="s">
        <v>2012</v>
      </c>
      <c r="AA380" s="4" t="s">
        <v>154</v>
      </c>
      <c r="AB380" s="6">
        <v>44721</v>
      </c>
      <c r="AC380" s="6">
        <v>45063</v>
      </c>
    </row>
    <row r="381" spans="1:30" x14ac:dyDescent="0.35">
      <c r="A381" s="7" t="s">
        <v>2013</v>
      </c>
      <c r="B381" s="4" t="s">
        <v>2014</v>
      </c>
      <c r="D381" s="4" t="s">
        <v>2015</v>
      </c>
      <c r="E381" s="4" t="s">
        <v>2016</v>
      </c>
      <c r="G381" s="4" t="s">
        <v>89</v>
      </c>
      <c r="H381" s="4">
        <v>1</v>
      </c>
      <c r="I381" s="4" t="s">
        <v>2017</v>
      </c>
      <c r="K381" s="4" t="s">
        <v>91</v>
      </c>
      <c r="L381" s="4" t="s">
        <v>92</v>
      </c>
      <c r="M381" s="4" t="s">
        <v>154</v>
      </c>
      <c r="N381" s="4">
        <f>0.1/1000</f>
        <v>1E-4</v>
      </c>
      <c r="O381" s="4" t="s">
        <v>2415</v>
      </c>
      <c r="Q381" s="4" t="s">
        <v>2071</v>
      </c>
      <c r="R381" s="4" t="s">
        <v>2088</v>
      </c>
      <c r="V381" s="4" t="s">
        <v>2018</v>
      </c>
      <c r="W381" s="4" t="s">
        <v>2636</v>
      </c>
      <c r="Y381" s="4" t="s">
        <v>2637</v>
      </c>
      <c r="AB381" s="6">
        <v>44721</v>
      </c>
      <c r="AC381" s="6">
        <v>45063</v>
      </c>
      <c r="AD381" s="6">
        <v>44739</v>
      </c>
    </row>
    <row r="382" spans="1:30" x14ac:dyDescent="0.35">
      <c r="A382" s="7" t="s">
        <v>2019</v>
      </c>
      <c r="B382" s="4" t="s">
        <v>2020</v>
      </c>
      <c r="D382" s="4" t="s">
        <v>2021</v>
      </c>
      <c r="E382" s="4" t="s">
        <v>2022</v>
      </c>
      <c r="G382" s="4" t="s">
        <v>89</v>
      </c>
      <c r="I382" s="4" t="s">
        <v>2023</v>
      </c>
      <c r="J382" s="4" t="s">
        <v>8</v>
      </c>
      <c r="K382" s="4" t="s">
        <v>2024</v>
      </c>
      <c r="L382" s="4" t="s">
        <v>92</v>
      </c>
      <c r="M382" s="4" t="s">
        <v>154</v>
      </c>
      <c r="N382" s="4">
        <f>19.4088/1000</f>
        <v>1.94088E-2</v>
      </c>
      <c r="O382" s="4" t="s">
        <v>2415</v>
      </c>
      <c r="Q382" s="4" t="s">
        <v>292</v>
      </c>
      <c r="W382" s="4" t="s">
        <v>118</v>
      </c>
      <c r="X382" s="4" t="s">
        <v>397</v>
      </c>
      <c r="Y382" s="4" t="s">
        <v>2025</v>
      </c>
      <c r="AB382" s="6">
        <v>44721</v>
      </c>
      <c r="AC382" s="6">
        <v>45063</v>
      </c>
      <c r="AD382" s="6">
        <v>45063</v>
      </c>
    </row>
    <row r="383" spans="1:30" x14ac:dyDescent="0.35">
      <c r="A383" s="7" t="s">
        <v>2026</v>
      </c>
      <c r="B383" s="4" t="s">
        <v>2027</v>
      </c>
      <c r="D383" s="4" t="s">
        <v>2028</v>
      </c>
      <c r="E383" s="4" t="s">
        <v>2029</v>
      </c>
      <c r="F383" s="4" t="s">
        <v>110</v>
      </c>
      <c r="G383" s="4" t="s">
        <v>73</v>
      </c>
      <c r="I383" s="4" t="s">
        <v>2030</v>
      </c>
      <c r="K383" s="4" t="s">
        <v>112</v>
      </c>
      <c r="L383" s="4" t="s">
        <v>33</v>
      </c>
      <c r="M383" s="4" t="s">
        <v>33</v>
      </c>
      <c r="N383" s="4">
        <f>30.5/1000</f>
        <v>3.0499999999999999E-2</v>
      </c>
      <c r="O383" s="4" t="s">
        <v>52</v>
      </c>
      <c r="Q383" s="4" t="s">
        <v>52</v>
      </c>
      <c r="W383" s="4" t="s">
        <v>2468</v>
      </c>
      <c r="X383" s="4" t="s">
        <v>2487</v>
      </c>
      <c r="Y383" s="4" t="s">
        <v>2469</v>
      </c>
      <c r="AB383" s="6">
        <v>44721</v>
      </c>
      <c r="AC383" s="6">
        <v>45100</v>
      </c>
      <c r="AD383" s="6">
        <v>45100</v>
      </c>
    </row>
    <row r="384" spans="1:30" x14ac:dyDescent="0.35">
      <c r="A384" s="7" t="s">
        <v>2251</v>
      </c>
      <c r="B384" s="4" t="s">
        <v>2031</v>
      </c>
      <c r="C384" s="4" t="s">
        <v>2032</v>
      </c>
      <c r="D384" s="4" t="s">
        <v>2033</v>
      </c>
      <c r="E384" s="4" t="s">
        <v>2034</v>
      </c>
      <c r="K384" s="4" t="s">
        <v>91</v>
      </c>
      <c r="L384" s="4" t="s">
        <v>92</v>
      </c>
      <c r="AA384" s="4" t="s">
        <v>154</v>
      </c>
      <c r="AB384" s="6">
        <v>44721</v>
      </c>
      <c r="AC384" s="6"/>
    </row>
    <row r="385" spans="1:30" x14ac:dyDescent="0.35">
      <c r="A385" s="7" t="s">
        <v>2035</v>
      </c>
      <c r="B385" s="4" t="s">
        <v>2036</v>
      </c>
      <c r="D385" s="4" t="s">
        <v>2037</v>
      </c>
      <c r="E385" s="4" t="s">
        <v>2038</v>
      </c>
      <c r="G385" s="4" t="s">
        <v>73</v>
      </c>
      <c r="H385" s="4">
        <v>2.4</v>
      </c>
      <c r="L385" s="4" t="s">
        <v>92</v>
      </c>
      <c r="AA385" s="4" t="s">
        <v>154</v>
      </c>
      <c r="AB385" s="6">
        <v>44721</v>
      </c>
      <c r="AC385" s="6"/>
    </row>
    <row r="386" spans="1:30" x14ac:dyDescent="0.35">
      <c r="A386" s="7" t="s">
        <v>2252</v>
      </c>
      <c r="B386" s="4" t="s">
        <v>2039</v>
      </c>
      <c r="D386" s="4" t="s">
        <v>2040</v>
      </c>
      <c r="E386" s="4" t="s">
        <v>2041</v>
      </c>
      <c r="G386" s="4" t="s">
        <v>89</v>
      </c>
      <c r="H386" s="4">
        <v>1.5</v>
      </c>
      <c r="I386" s="4" t="s">
        <v>2042</v>
      </c>
      <c r="K386" s="4" t="s">
        <v>112</v>
      </c>
      <c r="L386" s="4" t="s">
        <v>33</v>
      </c>
      <c r="M386" s="4" t="s">
        <v>33</v>
      </c>
      <c r="N386" s="4">
        <f>20.26/1000</f>
        <v>2.026E-2</v>
      </c>
      <c r="O386" s="4" t="s">
        <v>52</v>
      </c>
      <c r="Q386" s="4" t="s">
        <v>52</v>
      </c>
      <c r="R386" s="4" t="s">
        <v>44</v>
      </c>
      <c r="W386" s="4" t="s">
        <v>2331</v>
      </c>
      <c r="X386" s="4" t="s">
        <v>2043</v>
      </c>
      <c r="Y386" s="4" t="s">
        <v>2044</v>
      </c>
      <c r="AB386" s="6">
        <v>44721</v>
      </c>
      <c r="AC386" s="6">
        <v>45100</v>
      </c>
      <c r="AD386" s="6">
        <v>45100</v>
      </c>
    </row>
    <row r="387" spans="1:30" x14ac:dyDescent="0.35">
      <c r="A387" s="7" t="s">
        <v>2253</v>
      </c>
      <c r="B387" s="4" t="s">
        <v>2045</v>
      </c>
      <c r="D387" s="4" t="s">
        <v>2046</v>
      </c>
      <c r="E387" s="4" t="s">
        <v>2047</v>
      </c>
      <c r="F387" s="4" t="s">
        <v>151</v>
      </c>
      <c r="G387" s="4" t="s">
        <v>89</v>
      </c>
      <c r="H387" s="4">
        <v>3</v>
      </c>
      <c r="I387" s="4" t="s">
        <v>2048</v>
      </c>
      <c r="J387" s="4" t="s">
        <v>8</v>
      </c>
      <c r="K387" s="4" t="s">
        <v>153</v>
      </c>
      <c r="L387" s="4" t="s">
        <v>169</v>
      </c>
      <c r="M387" s="4" t="s">
        <v>2049</v>
      </c>
      <c r="O387" s="4" t="s">
        <v>44</v>
      </c>
      <c r="Q387" s="4" t="s">
        <v>44</v>
      </c>
      <c r="R387" s="4" t="s">
        <v>52</v>
      </c>
      <c r="W387" s="4" t="s">
        <v>1896</v>
      </c>
      <c r="X387" s="4" t="s">
        <v>2051</v>
      </c>
      <c r="Y387" s="4" t="s">
        <v>2052</v>
      </c>
      <c r="Z387" s="4" t="s">
        <v>2050</v>
      </c>
      <c r="AB387" s="6">
        <v>44721</v>
      </c>
      <c r="AC387" s="6">
        <v>45063</v>
      </c>
      <c r="AD387" s="6">
        <v>45063</v>
      </c>
    </row>
  </sheetData>
  <dataValidations count="2">
    <dataValidation type="list" allowBlank="1" showInputMessage="1" showErrorMessage="1" sqref="N250:P250 Z250">
      <formula1>vector</formula1>
    </dataValidation>
    <dataValidation allowBlank="1" showInputMessage="1" showErrorMessage="1" sqref="N150:P150 W263:X263 Z150 N153:P153 X168:Z168 N214:P215 W171:Z171 N171:P171 Z153 N202:P202 X210:Z210 N210:P210 Y212:Z213 Z202 N223:P223 N227:P227 W227:X227 W231:Z231 N231:P231 W267:Z268 O212:P213 Y282:Z282 N282:P282 Y354:Z354 Y350 N263:P263 Z223 W153:X153 X202 W150 W223 W214:Z215 N168 N267:N268"/>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topLeftCell="A13" workbookViewId="0">
      <selection activeCell="B29" sqref="B29"/>
    </sheetView>
  </sheetViews>
  <sheetFormatPr defaultRowHeight="14.5" x14ac:dyDescent="0.35"/>
  <cols>
    <col min="1" max="1" width="21.54296875" customWidth="1"/>
  </cols>
  <sheetData>
    <row r="1" spans="1:2" x14ac:dyDescent="0.35">
      <c r="A1" t="s">
        <v>2053</v>
      </c>
    </row>
    <row r="2" spans="1:2" x14ac:dyDescent="0.35">
      <c r="A2" t="s">
        <v>2411</v>
      </c>
    </row>
    <row r="5" spans="1:2" x14ac:dyDescent="0.35">
      <c r="A5" s="2" t="s">
        <v>0</v>
      </c>
      <c r="B5" t="s">
        <v>2054</v>
      </c>
    </row>
    <row r="6" spans="1:2" x14ac:dyDescent="0.35">
      <c r="A6" s="2" t="s">
        <v>1</v>
      </c>
      <c r="B6" t="s">
        <v>2055</v>
      </c>
    </row>
    <row r="7" spans="1:2" x14ac:dyDescent="0.35">
      <c r="A7" s="2" t="s">
        <v>2</v>
      </c>
      <c r="B7" t="s">
        <v>2056</v>
      </c>
    </row>
    <row r="8" spans="1:2" x14ac:dyDescent="0.35">
      <c r="A8" s="2" t="s">
        <v>3</v>
      </c>
    </row>
    <row r="9" spans="1:2" x14ac:dyDescent="0.35">
      <c r="A9" s="2" t="s">
        <v>4</v>
      </c>
    </row>
    <row r="10" spans="1:2" x14ac:dyDescent="0.35">
      <c r="A10" s="2" t="s">
        <v>2284</v>
      </c>
      <c r="B10" t="s">
        <v>2057</v>
      </c>
    </row>
    <row r="11" spans="1:2" x14ac:dyDescent="0.35">
      <c r="A11" s="2" t="s">
        <v>5</v>
      </c>
      <c r="B11" t="s">
        <v>2286</v>
      </c>
    </row>
    <row r="12" spans="1:2" x14ac:dyDescent="0.35">
      <c r="A12" s="2" t="s">
        <v>6</v>
      </c>
      <c r="B12" t="s">
        <v>2058</v>
      </c>
    </row>
    <row r="13" spans="1:2" x14ac:dyDescent="0.35">
      <c r="A13" s="2" t="s">
        <v>7</v>
      </c>
      <c r="B13" t="s">
        <v>2059</v>
      </c>
    </row>
    <row r="14" spans="1:2" x14ac:dyDescent="0.35">
      <c r="A14" s="2" t="s">
        <v>8</v>
      </c>
      <c r="B14" t="s">
        <v>2086</v>
      </c>
    </row>
    <row r="15" spans="1:2" x14ac:dyDescent="0.35">
      <c r="A15" s="2" t="s">
        <v>9</v>
      </c>
      <c r="B15" t="s">
        <v>2060</v>
      </c>
    </row>
    <row r="16" spans="1:2" x14ac:dyDescent="0.35">
      <c r="A16" s="2" t="s">
        <v>10</v>
      </c>
      <c r="B16" t="s">
        <v>2061</v>
      </c>
    </row>
    <row r="17" spans="1:2" x14ac:dyDescent="0.35">
      <c r="A17" s="2" t="s">
        <v>11</v>
      </c>
      <c r="B17" t="s">
        <v>2062</v>
      </c>
    </row>
    <row r="18" spans="1:2" x14ac:dyDescent="0.35">
      <c r="A18" s="2" t="s">
        <v>12</v>
      </c>
      <c r="B18" t="s">
        <v>2063</v>
      </c>
    </row>
    <row r="19" spans="1:2" x14ac:dyDescent="0.35">
      <c r="A19" s="2" t="s">
        <v>13</v>
      </c>
      <c r="B19" t="s">
        <v>2092</v>
      </c>
    </row>
    <row r="20" spans="1:2" x14ac:dyDescent="0.35">
      <c r="A20" s="2" t="s">
        <v>14</v>
      </c>
      <c r="B20" t="s">
        <v>2064</v>
      </c>
    </row>
    <row r="21" spans="1:2" x14ac:dyDescent="0.35">
      <c r="A21" s="2" t="s">
        <v>15</v>
      </c>
      <c r="B21" t="s">
        <v>2064</v>
      </c>
    </row>
    <row r="22" spans="1:2" x14ac:dyDescent="0.35">
      <c r="A22" s="2" t="s">
        <v>16</v>
      </c>
      <c r="B22" t="s">
        <v>2064</v>
      </c>
    </row>
    <row r="23" spans="1:2" x14ac:dyDescent="0.35">
      <c r="A23" s="2" t="s">
        <v>17</v>
      </c>
      <c r="B23" t="s">
        <v>2064</v>
      </c>
    </row>
    <row r="24" spans="1:2" x14ac:dyDescent="0.35">
      <c r="A24" s="2" t="s">
        <v>18</v>
      </c>
      <c r="B24" t="s">
        <v>2065</v>
      </c>
    </row>
    <row r="25" spans="1:2" x14ac:dyDescent="0.35">
      <c r="A25" s="2" t="s">
        <v>19</v>
      </c>
      <c r="B25" t="s">
        <v>2066</v>
      </c>
    </row>
    <row r="26" spans="1:2" x14ac:dyDescent="0.35">
      <c r="A26" s="2" t="s">
        <v>20</v>
      </c>
      <c r="B26" t="s">
        <v>2067</v>
      </c>
    </row>
    <row r="27" spans="1:2" x14ac:dyDescent="0.35">
      <c r="A27" s="1" t="s">
        <v>21</v>
      </c>
      <c r="B27" t="s">
        <v>2068</v>
      </c>
    </row>
    <row r="28" spans="1:2" x14ac:dyDescent="0.35">
      <c r="A28" s="1" t="s">
        <v>22</v>
      </c>
      <c r="B28" t="s">
        <v>2607</v>
      </c>
    </row>
    <row r="29" spans="1:2" x14ac:dyDescent="0.35">
      <c r="A29" s="2" t="s">
        <v>23</v>
      </c>
      <c r="B29" t="s">
        <v>2069</v>
      </c>
    </row>
    <row r="30" spans="1:2" x14ac:dyDescent="0.35">
      <c r="A30" s="2" t="s">
        <v>24</v>
      </c>
      <c r="B30" t="s">
        <v>2070</v>
      </c>
    </row>
    <row r="31" spans="1:2" x14ac:dyDescent="0.35">
      <c r="A31" s="2" t="s">
        <v>25</v>
      </c>
      <c r="B31" t="s">
        <v>2070</v>
      </c>
    </row>
    <row r="32" spans="1:2" x14ac:dyDescent="0.35">
      <c r="A32" s="2" t="s">
        <v>26</v>
      </c>
      <c r="B32" t="s">
        <v>2070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2025-07-15T00:54:13Z</dcterms:modified>
</cp:coreProperties>
</file>