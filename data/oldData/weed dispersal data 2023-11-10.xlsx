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bra\Documents\Business\Jobs\weed dispersal review\data\"/>
    </mc:Choice>
  </mc:AlternateContent>
  <bookViews>
    <workbookView xWindow="0" yWindow="0" windowWidth="19200" windowHeight="7310"/>
  </bookViews>
  <sheets>
    <sheet name="data" sheetId="1" r:id="rId1"/>
    <sheet name="metadata" sheetId="2" r:id="rId2"/>
  </sheets>
  <externalReferences>
    <externalReference r:id="rId3"/>
  </externalReferences>
  <definedNames>
    <definedName name="_xlnm._FilterDatabase" localSheetId="0" hidden="1">data!$B$1:$AA$388</definedName>
    <definedName name="vector">[1]metadata!$D$18:$K$18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03" i="1" l="1"/>
  <c r="M216" i="1"/>
  <c r="M334" i="1" l="1"/>
  <c r="M294" i="1"/>
  <c r="M279" i="1" l="1"/>
  <c r="M269" i="1"/>
  <c r="M222" i="1"/>
  <c r="M218" i="1"/>
  <c r="M214" i="1"/>
  <c r="M179" i="1"/>
  <c r="M175" i="1" l="1"/>
  <c r="M11" i="1"/>
  <c r="M8" i="1"/>
  <c r="M387" i="1" l="1"/>
  <c r="M384" i="1"/>
  <c r="M383" i="1"/>
  <c r="M382" i="1"/>
  <c r="M380" i="1"/>
  <c r="M378" i="1"/>
  <c r="M377" i="1"/>
  <c r="M376" i="1"/>
  <c r="M374" i="1"/>
  <c r="M372" i="1"/>
  <c r="M371" i="1"/>
  <c r="M370" i="1"/>
  <c r="M369" i="1"/>
  <c r="M366" i="1"/>
  <c r="M365" i="1"/>
  <c r="M363" i="1"/>
  <c r="M359" i="1"/>
  <c r="M357" i="1"/>
  <c r="M356" i="1"/>
  <c r="M355" i="1"/>
  <c r="M354" i="1"/>
  <c r="M353" i="1"/>
  <c r="M352" i="1"/>
  <c r="M350" i="1"/>
  <c r="M349" i="1"/>
  <c r="M348" i="1"/>
  <c r="M347" i="1"/>
  <c r="M346" i="1"/>
  <c r="M344" i="1"/>
  <c r="M340" i="1"/>
  <c r="M339" i="1"/>
  <c r="M338" i="1"/>
  <c r="M337" i="1"/>
  <c r="M336" i="1"/>
  <c r="M333" i="1"/>
  <c r="M332" i="1"/>
  <c r="M331" i="1"/>
  <c r="M330" i="1"/>
  <c r="M328" i="1"/>
  <c r="M327" i="1"/>
  <c r="M324" i="1"/>
  <c r="M322" i="1"/>
  <c r="M321" i="1"/>
  <c r="M320" i="1"/>
  <c r="M319" i="1"/>
  <c r="M317" i="1"/>
  <c r="M316" i="1"/>
  <c r="M315" i="1"/>
  <c r="M314" i="1"/>
  <c r="M313" i="1"/>
  <c r="M310" i="1"/>
  <c r="M308" i="1"/>
  <c r="M306" i="1"/>
  <c r="M305" i="1"/>
  <c r="M304" i="1"/>
  <c r="M301" i="1"/>
  <c r="M300" i="1"/>
  <c r="M298" i="1"/>
  <c r="M296" i="1"/>
  <c r="M295" i="1"/>
  <c r="M293" i="1"/>
  <c r="M292" i="1"/>
  <c r="M290" i="1"/>
  <c r="M289" i="1"/>
  <c r="M288" i="1"/>
  <c r="M287" i="1"/>
  <c r="M285" i="1"/>
  <c r="M284" i="1"/>
  <c r="M282" i="1"/>
  <c r="M281" i="1"/>
  <c r="M280" i="1"/>
  <c r="M278" i="1"/>
  <c r="M277" i="1"/>
  <c r="M276" i="1"/>
  <c r="M275" i="1"/>
  <c r="M274" i="1"/>
  <c r="M273" i="1"/>
  <c r="M272" i="1"/>
  <c r="M271" i="1"/>
  <c r="M270" i="1"/>
  <c r="M268" i="1"/>
  <c r="M267" i="1"/>
  <c r="M266" i="1"/>
  <c r="M265" i="1"/>
  <c r="M264" i="1"/>
  <c r="M262" i="1"/>
  <c r="M261" i="1"/>
  <c r="M260" i="1"/>
  <c r="M259" i="1"/>
  <c r="M258" i="1"/>
  <c r="M253" i="1"/>
  <c r="M252" i="1"/>
  <c r="M251" i="1"/>
  <c r="M249" i="1"/>
  <c r="M248" i="1"/>
  <c r="M246" i="1"/>
  <c r="M245" i="1"/>
  <c r="M244" i="1"/>
  <c r="M239" i="1"/>
  <c r="M238" i="1"/>
  <c r="M237" i="1"/>
  <c r="M235" i="1"/>
  <c r="M234" i="1"/>
  <c r="M233" i="1"/>
  <c r="M231" i="1"/>
  <c r="M230" i="1"/>
  <c r="M229" i="1"/>
  <c r="M228" i="1"/>
  <c r="M227" i="1"/>
  <c r="M226" i="1"/>
  <c r="M225" i="1"/>
  <c r="M224" i="1"/>
  <c r="M223" i="1"/>
  <c r="M221" i="1"/>
  <c r="M220" i="1"/>
  <c r="M219" i="1"/>
  <c r="M217" i="1"/>
  <c r="M215" i="1"/>
  <c r="M213" i="1"/>
  <c r="M211" i="1"/>
  <c r="M210" i="1"/>
  <c r="M209" i="1"/>
  <c r="M208" i="1"/>
  <c r="M207" i="1"/>
  <c r="M206" i="1"/>
  <c r="M205" i="1"/>
  <c r="M204" i="1"/>
  <c r="M203" i="1"/>
  <c r="M202" i="1"/>
  <c r="M200" i="1"/>
  <c r="M198" i="1"/>
  <c r="M196" i="1"/>
  <c r="M195" i="1"/>
  <c r="M194" i="1"/>
  <c r="M193" i="1"/>
  <c r="M192" i="1"/>
  <c r="M190" i="1"/>
  <c r="M189" i="1"/>
  <c r="M188" i="1"/>
  <c r="M184" i="1"/>
  <c r="M183" i="1"/>
  <c r="M182" i="1"/>
  <c r="M181" i="1"/>
  <c r="M180" i="1"/>
  <c r="M178" i="1"/>
  <c r="M177" i="1"/>
  <c r="M171" i="1"/>
  <c r="M169" i="1"/>
  <c r="M168" i="1"/>
  <c r="M167" i="1"/>
  <c r="M165" i="1"/>
  <c r="M164" i="1"/>
  <c r="M163" i="1"/>
  <c r="M162" i="1"/>
  <c r="M161" i="1"/>
  <c r="M160" i="1"/>
  <c r="M156" i="1"/>
  <c r="M155" i="1"/>
  <c r="M154" i="1"/>
  <c r="M153" i="1"/>
  <c r="M152" i="1"/>
  <c r="M151" i="1"/>
  <c r="M150" i="1"/>
  <c r="M149" i="1"/>
  <c r="M364" i="1"/>
  <c r="M148" i="1"/>
  <c r="M147" i="1"/>
  <c r="M145" i="1"/>
  <c r="M311" i="1"/>
  <c r="M144" i="1"/>
  <c r="M143" i="1"/>
  <c r="M142" i="1"/>
  <c r="M141" i="1"/>
  <c r="M140" i="1"/>
  <c r="M139" i="1"/>
  <c r="M138" i="1"/>
  <c r="M137" i="1"/>
  <c r="M135" i="1"/>
  <c r="M134" i="1"/>
  <c r="M130" i="1"/>
  <c r="M128" i="1"/>
  <c r="M127" i="1"/>
  <c r="M124" i="1"/>
  <c r="M123" i="1"/>
  <c r="M121" i="1"/>
  <c r="M120" i="1"/>
  <c r="M119" i="1"/>
  <c r="M118" i="1"/>
  <c r="M117" i="1"/>
  <c r="M90" i="1"/>
  <c r="M116" i="1"/>
  <c r="G114" i="1"/>
  <c r="M113" i="1"/>
  <c r="M112" i="1"/>
  <c r="M111" i="1"/>
  <c r="M110" i="1"/>
  <c r="M108" i="1"/>
  <c r="M106" i="1"/>
  <c r="M105" i="1"/>
  <c r="M104" i="1"/>
  <c r="M103" i="1"/>
  <c r="M102" i="1"/>
  <c r="M99" i="1"/>
  <c r="M98" i="1"/>
  <c r="M97" i="1"/>
  <c r="M96" i="1"/>
  <c r="M95" i="1"/>
  <c r="M94" i="1"/>
  <c r="M93" i="1"/>
  <c r="M91" i="1"/>
  <c r="M89" i="1"/>
  <c r="M88" i="1"/>
  <c r="M84" i="1"/>
  <c r="M83" i="1"/>
  <c r="M79" i="1"/>
  <c r="M81" i="1"/>
  <c r="M77" i="1"/>
  <c r="M75" i="1"/>
  <c r="M74" i="1"/>
  <c r="M73" i="1"/>
  <c r="M72" i="1"/>
  <c r="M71" i="1"/>
  <c r="M70" i="1"/>
  <c r="M69" i="1"/>
  <c r="M68" i="1"/>
  <c r="M67" i="1"/>
  <c r="M66" i="1"/>
  <c r="M65" i="1"/>
  <c r="M64" i="1"/>
  <c r="M63" i="1"/>
  <c r="M62" i="1"/>
  <c r="M61" i="1"/>
  <c r="M59" i="1"/>
  <c r="M57" i="1"/>
  <c r="M56" i="1"/>
  <c r="M55" i="1"/>
  <c r="M53" i="1"/>
  <c r="M52" i="1"/>
  <c r="M51" i="1"/>
  <c r="M50" i="1"/>
  <c r="M49" i="1"/>
  <c r="M47" i="1"/>
  <c r="M46" i="1"/>
  <c r="M44" i="1"/>
  <c r="M42" i="1"/>
  <c r="M41" i="1"/>
  <c r="M40" i="1"/>
  <c r="M39" i="1"/>
  <c r="M37" i="1"/>
  <c r="M36" i="1"/>
  <c r="M35" i="1"/>
  <c r="M31" i="1"/>
  <c r="M29" i="1"/>
  <c r="M28" i="1"/>
  <c r="M26" i="1"/>
  <c r="M25" i="1"/>
  <c r="M24" i="1"/>
  <c r="M21" i="1"/>
  <c r="M20" i="1"/>
  <c r="M19" i="1"/>
  <c r="M17" i="1"/>
  <c r="M16" i="1"/>
  <c r="M13" i="1"/>
  <c r="M12" i="1"/>
  <c r="M10" i="1"/>
  <c r="M9" i="1"/>
  <c r="M7" i="1"/>
  <c r="M6" i="1"/>
  <c r="M5" i="1"/>
  <c r="M4" i="1"/>
  <c r="M3" i="1"/>
  <c r="M2" i="1"/>
</calcChain>
</file>

<file path=xl/sharedStrings.xml><?xml version="1.0" encoding="utf-8"?>
<sst xmlns="http://schemas.openxmlformats.org/spreadsheetml/2006/main" count="4861" uniqueCount="2654">
  <si>
    <t>authority</t>
  </si>
  <si>
    <t>species</t>
  </si>
  <si>
    <t>synonym</t>
  </si>
  <si>
    <t>common name</t>
  </si>
  <si>
    <t>class</t>
  </si>
  <si>
    <t>family</t>
  </si>
  <si>
    <t>notes</t>
  </si>
  <si>
    <t>growth.form</t>
  </si>
  <si>
    <t>height</t>
  </si>
  <si>
    <t>habitat</t>
  </si>
  <si>
    <t>riparian</t>
  </si>
  <si>
    <t>fruit.type</t>
  </si>
  <si>
    <t>category</t>
  </si>
  <si>
    <t>dispersal.adaptations</t>
  </si>
  <si>
    <t>seed.mass</t>
  </si>
  <si>
    <t>mechanism1</t>
  </si>
  <si>
    <t>mechanism2</t>
  </si>
  <si>
    <t>mechanism3</t>
  </si>
  <si>
    <t>mechanism4</t>
  </si>
  <si>
    <t>mechanism5</t>
  </si>
  <si>
    <t>distance</t>
  </si>
  <si>
    <t>dispersal.ref</t>
  </si>
  <si>
    <t>NZ.dispersal.notes</t>
  </si>
  <si>
    <t>overseas.dispersal.notes</t>
  </si>
  <si>
    <t>DW.dispersal.notes</t>
  </si>
  <si>
    <t>NZseeds</t>
  </si>
  <si>
    <t>NZFloraOnline</t>
  </si>
  <si>
    <t>NZPCN</t>
  </si>
  <si>
    <t>Kew SID</t>
  </si>
  <si>
    <t>Acacia baileyana F.Muell.</t>
  </si>
  <si>
    <t>Acacia baileyana</t>
  </si>
  <si>
    <t>Cootamundra wattle</t>
  </si>
  <si>
    <t>shrub or tree to 10 m high ((Flora of Australia https://profiles.ala.org.au/opus/foa/profile/Acacia%20baileyana, accessed 16/6/2023); aril</t>
  </si>
  <si>
    <t>shrub-tree</t>
  </si>
  <si>
    <t>NZPCN: Waste places and scrubland</t>
  </si>
  <si>
    <t>pod with arillate seeds</t>
  </si>
  <si>
    <t>fleshy</t>
  </si>
  <si>
    <t>arillate seed</t>
  </si>
  <si>
    <t>ant</t>
  </si>
  <si>
    <t>Morgan et al. 2002; O'Dowd &amp; Gill, 1986, cited in Kew Seed Information Database; NZPCN</t>
  </si>
  <si>
    <t>Seed dispersed a short distance form parent plant by wind and gravity (NZPCN)</t>
  </si>
  <si>
    <t>Seeds dispersed by ants in Australia and South Africa (Morgan et al. 2002); Animal; Diaspore is carried intentionally; Direct or experimental observation; (O'Dowd &amp; Gill, 1986); Ants.; Iridomyrmex sp.; Diaspore=seed. The seed has an aril or aril-like structure.</t>
  </si>
  <si>
    <t>Acacia dealbata Link</t>
  </si>
  <si>
    <t>Acacia dealbata</t>
  </si>
  <si>
    <t>Racosperma dealbatum in Flora</t>
  </si>
  <si>
    <t>silver wattle</t>
  </si>
  <si>
    <t>shrub to large tree; Bushy shrub or spreading tree to 30 m high (Flora of Australia https://profiles.ala.org.au/opus/foa/profile/Acacia%20dealbata, accessed 15/6/2023)</t>
  </si>
  <si>
    <t>NZ Flora Online: bank, clay, coast, dry, gravel, hill, margin, open, pasture, riparian, river terrace, riverbed, roadside, sand, sheltered, shrubland, silt, slope, stone, terrace, track, wasteland; NZPCN: A plant of riverbed habitats and waste places. Prefers relatively high fertility and light.</t>
  </si>
  <si>
    <t>fleshy aril</t>
  </si>
  <si>
    <t>water</t>
  </si>
  <si>
    <t>O'Dowd &amp; Gill, 1986, cited in Kew Seed Information Database</t>
  </si>
  <si>
    <t>Acacia spp. have no structures directly aiding active seed dispersal and large seeds (&gt;10 mg) (Esler 1988); ballistic dispersal (Timmins &amp; Mackenzie 1995)</t>
  </si>
  <si>
    <t>Animal; Diaspore is carried intentionally; Direct or experimental observation; Ants.; Diaspore=seed. The seed has an aril or aril-like structure (O'Dowd &amp; Gill, 1986, cited in Kew Seed Information Database); dispersed by wind &amp; water (Cronk &amp; Fuller 1995)</t>
  </si>
  <si>
    <t>Acacia longifolia (Andrews) Willd.</t>
  </si>
  <si>
    <t>Acacia longifolia</t>
  </si>
  <si>
    <t>Acacia sophorae; Racosperma longifolium in Flora</t>
  </si>
  <si>
    <t>Sydney golden wattle</t>
  </si>
  <si>
    <t>shrub or small tree; Shrub or erect tree, (0.5–) 1–10 m high (Flora of Australia https://profiles.ala.org.au/opus/foa/profile/Acacia%20longifolia, accessed 15/6/2023)</t>
  </si>
  <si>
    <t>NZ Flora Online: coast, dry, gap, loam, lowland, sand, shrubland, slope; NZPCN: Shrubland, coastal areas, dry banks and river beds</t>
  </si>
  <si>
    <t>fleshy aril; elaiosome</t>
  </si>
  <si>
    <t>internal</t>
  </si>
  <si>
    <t>Pemberton &amp; Irving 1990; Marchante et al. 2010; Smart et al. 2023</t>
  </si>
  <si>
    <t>has no structures directly aiding active seed dispersal and large seeds (&gt;10 mg) (Esler 1988); Seeds dispersed locally by wind and gravity (NZPCN)</t>
  </si>
  <si>
    <r>
      <t xml:space="preserve">Seed has an elaiosome (Pemberton &amp; Irving 1990). Seeds dispersed by ants (Smart et al. 2023). Acacia longifolia seedlings have been reported under nests of collared dove (Streptopelia decaocto) in Portugal (Marchante et al. 2010). Other Australian </t>
    </r>
    <r>
      <rPr>
        <i/>
        <sz val="11"/>
        <rFont val="Calibri"/>
        <family val="2"/>
        <scheme val="minor"/>
      </rPr>
      <t>Acacia</t>
    </r>
    <r>
      <rPr>
        <sz val="11"/>
        <rFont val="Calibri"/>
        <family val="2"/>
        <scheme val="minor"/>
      </rPr>
      <t xml:space="preserve"> species with arrillate seeds are ant-dispersed (Berg 1975). A. sophorae: Animal; Diaspore is carried or eaten intentionally depending upon the species of disperser; Direct or experimental observation; Ants+birds.; Rhytidoponera metallica; Meliphaga chrysops; Meliphaga virescens; Diaspore=seed. The seed has an aril or aril-like structure (O'Dowd &amp; Gill, 1986, cited in Kew Seed Information database); .</t>
    </r>
  </si>
  <si>
    <t>Acacia mearnsii De Wild.</t>
  </si>
  <si>
    <t>Acacia mearnsii</t>
  </si>
  <si>
    <t>Racosperma mearnsii in Flora</t>
  </si>
  <si>
    <t>black wattle</t>
  </si>
  <si>
    <t>shrub to large tree; Spreading shrub or mostly erect tree to 10 (–16) m high (Flora of Australia https://profiles.ala.org.au/opus/foa/profile/Acacia%20mearnsii, accessed 15/6/2023)</t>
  </si>
  <si>
    <t>NZ Flora Online: clay, dry, gully, hill, loam, open, pasture, river terrace, roadside, sand, shrubland, slope, stone, terrace, unstable/eroded, wasteland; NZPCN: Waste places, scrubland, pasture, riverbanks</t>
  </si>
  <si>
    <t>has no structures directly aiding active seed dispersal and large seeds (&gt;10 mg) (Esler 1988). Seed dispersed locally by wind and gravity (NZPCN)</t>
  </si>
  <si>
    <t>Animal; Diaspore is carried intentionally; Direct or experimental observation; Ants.; Diaspore=seed. The seed has an aril or aril-like structure (O'Dowd &amp; Gill, 1986, cited in Kew Seed Information Database); dispersed by mammals &amp; water (Cronk &amp; Fuller 1995)</t>
  </si>
  <si>
    <t>Acacia melanoxylon R.Br.</t>
  </si>
  <si>
    <t>Acacia melanoxylon</t>
  </si>
  <si>
    <t>Racosperma melanoxylon in Flora</t>
  </si>
  <si>
    <t>Tasmanian blackwood</t>
  </si>
  <si>
    <t>aril pink to crimson or red, shrub or tree normally a relatively large tree; Tree 6–30 (–45) m high; sometimes a shrub 1.5–3 m high (Flora of Australia https://profiles.ala.org.au/opus/foa/profile/Acacia%20melanoxylon, accessed 15/6/2023)</t>
  </si>
  <si>
    <t>NZ Flora Online:  bank, clay, dry, lowland, margin, open, roadside, slope, track; NZPCN: Waste places, often coastal, especially near plantations</t>
  </si>
  <si>
    <t>pink to crimson or red, large fleshy aril, elaiosome</t>
  </si>
  <si>
    <t>O'Dowd &amp; Gill, 1986, cited in Kew Seed Information Database; Pemberton &amp; Irving 1990</t>
  </si>
  <si>
    <r>
      <t>Acacia</t>
    </r>
    <r>
      <rPr>
        <sz val="11"/>
        <rFont val="Calibri"/>
        <family val="2"/>
        <scheme val="minor"/>
      </rPr>
      <t xml:space="preserve"> spp. have no structures directly aiding active seed dispersal and large seeds (&gt;10 mg) (Esler 1988).</t>
    </r>
  </si>
  <si>
    <t>Animal; Diaspore is eaten intentionally; Direct or experimental observation; Birds.; Meliphaga chrysops; Diaspore=seed. The seed has an aril or aril-like structure (O'Dowd &amp; Gill, 1986, cited in Kew Seed Information Database); dispersed by birds &amp; water (Cronk &amp; Fuller 1995); seed has an elaiosome (Pemberton &amp; Irving 1990)</t>
  </si>
  <si>
    <t>Acacia paradoxa DC.</t>
  </si>
  <si>
    <t>Acacia paradoxa</t>
  </si>
  <si>
    <t>Racosperma paradoxum in Flora</t>
  </si>
  <si>
    <t>kangaroo acacia</t>
  </si>
  <si>
    <t>Shrub or small tree up to 3 m high</t>
  </si>
  <si>
    <t>shrub</t>
  </si>
  <si>
    <t>NZ Flora Online: clay, dry, lowland, margin, open, roadside, sand, slope, stone, wasteland. NZPCN: Open sites usually of low fertility near the coast</t>
  </si>
  <si>
    <t>Berg 1975</t>
  </si>
  <si>
    <r>
      <t>Acacia</t>
    </r>
    <r>
      <rPr>
        <sz val="11"/>
        <rFont val="Calibri"/>
        <family val="2"/>
        <scheme val="minor"/>
      </rPr>
      <t xml:space="preserve"> spp. have no structures directly aiding active seed dispersal and large seeds (&gt;10 mg) (Esler 1988). Spreads locally by wind and gravity (NZPCN).</t>
    </r>
  </si>
  <si>
    <t>Animal; Diaspore is carried intentionally; Direct or experimental observation; Ants.; Aphaenogaster longiceps (Berg, 1975)</t>
  </si>
  <si>
    <t>Acacia verticillata (L'Her.) Willd.</t>
  </si>
  <si>
    <t>Acacia verticillata</t>
  </si>
  <si>
    <t>Racosperma verticillatum in Flora</t>
  </si>
  <si>
    <t>prickly moses</t>
  </si>
  <si>
    <t>shrub to small tree. Shrub or erect tree to 10 m high (Flora of Australia https://profiles.ala.org.au/opus/foa/profile/Acacia%20verticillata, accessed 15/6/2023)</t>
  </si>
  <si>
    <t>NZ Flora Online: bank, clay, coast, dry, forest edge, gully, hill, lowland, margin, moist, open, peat, roadside, sand, scrubland, sheltered, shrubland, stone, terrace, unstable/eroded</t>
  </si>
  <si>
    <t>Armstrong 1998</t>
  </si>
  <si>
    <t>Has elaiosome and is dispersed by ants (The Unforgettable Acacias. Modified from: Armstrong W. P. 1998, Zoonooz 71 (8): p. 28 - 31  http://waynesword.palomar.edu/plaug99.htm. Accessed 7/1/2010)</t>
  </si>
  <si>
    <t>Acanthus mollis L.</t>
  </si>
  <si>
    <t>Acanthus mollis</t>
  </si>
  <si>
    <t>bear's breeches</t>
  </si>
  <si>
    <t>herb</t>
  </si>
  <si>
    <t>Usually found near old settlements, in partial shade and along riverbanks.</t>
  </si>
  <si>
    <t>capsule</t>
  </si>
  <si>
    <t>dry</t>
  </si>
  <si>
    <t>explosive capsule</t>
  </si>
  <si>
    <t>ballistic</t>
  </si>
  <si>
    <t>Esler 1988; NZPCN; Duncan &amp; Duncan 2000, cited in Kew SID</t>
  </si>
  <si>
    <t>Propulsion of seed is achieved by the sudden release of the stout funiculus (retinaculum), which is held under tension in the ripening capsule (Esler 1988). Has no structures directly aiding active dispersal and large seeds &gt;10 mg (Elser 1988). Dispersed by gravity, water and birds (NZPCN website, accessed 13 April 2023).</t>
  </si>
  <si>
    <t>Combination: wind+unassisted; Method not stated; (Duncan &amp; Duncan, 2000); Diaspore=seed. 2.Duncan, R.S. and Duncan, V.E. 2000. Forest succession and distance from forest edge in an Afro-tropical grassland. Biotropica, 32:33-41. [19/6/2022 no longer cited in Kew SID]</t>
  </si>
  <si>
    <t>Acer pseudoplatanus L.</t>
  </si>
  <si>
    <t>Acer pseudoplatanus</t>
  </si>
  <si>
    <t>sycamore</t>
  </si>
  <si>
    <t>seed is dispersed by wind and can be dispersed up to 85m from parent plants</t>
  </si>
  <si>
    <t>tree</t>
  </si>
  <si>
    <t>NZPCN: Coastal and lowland plant on sites with high fertility. Grows in a wide range of open forest and scrub types with moderately high light levels. NZ Flora Online:  bank, clay, coast, dry, forest, gap, gully, hill, loam, lowland, margin, open, pasture, riparian, roadside, rock outcrop, sand, shaded, sheltered, shrubland, slope, stone, terrace, track, wasteland</t>
  </si>
  <si>
    <t>samara</t>
  </si>
  <si>
    <t>winged seed</t>
  </si>
  <si>
    <t>wind</t>
  </si>
  <si>
    <t>attachment</t>
  </si>
  <si>
    <t>Farmer 1997, cited in KEW SID; Matlack 1987, cited in KEW SID; Webb et al. 1988; Timmins &amp; Mackenzie; Esler 1988; Albert et al. 2015; Jones 1945; Spurr et al. 2011</t>
  </si>
  <si>
    <t>Wind dispersal by wings (Webb et al. 1988; Esler 1988). Bellbirds feed on seeds (Spurr et al. 2011)</t>
  </si>
  <si>
    <t xml:space="preserve">   Wind; Diaspore is blown by wind; Method not stated; (Matlack, 1987, cited in Kew SID 19/6/2022); Diaspore=samara. The diaspore has wings.
    Wind; Diaspore is blown by wind; Direct or experimental observation; (Farmer, 1997, cited in Kew SID, 19/6/2022); Diaspore=samara. The diaspore has wings or wing-like features. wind dispersed (Cronk &amp; Fuller 1995). Seeds are dispersed in fur and on hooves of deer (Albert et al. 2015); dispersal by wind, usu. over short distances only, though flights of 4 km have been recorded. Rate of fall about 0.9 m/s. Maximum distance of dispersal in 'tolerably strong breeze' from height of 15 m is 36-85 m...seed in bird droppings (Jones 1945).</t>
  </si>
  <si>
    <t>Actinidia deliciosa (Chev.) C.F.Liang &amp; A.R.Ferguson</t>
  </si>
  <si>
    <t>Actinidia deliciosa</t>
  </si>
  <si>
    <t>Actinidia chinensis var. deliciosa</t>
  </si>
  <si>
    <t>kiwifruit</t>
  </si>
  <si>
    <t>seed mass from A. chinensis; min and max seed no. were estimated from graph</t>
  </si>
  <si>
    <t>vine</t>
  </si>
  <si>
    <t>NZ Flora Online: bank, coast, dry, flat , forest, forest edge, gravel, loam, lowland, margin, moist, open, peat, sand, shaded, sheltered, shrubland, stone, terrace, track, wasteland</t>
  </si>
  <si>
    <t>berry</t>
  </si>
  <si>
    <t>Sullivan &amp; Williams 2002; Logan &amp; Xu 2006</t>
  </si>
  <si>
    <t>Silvereye flocks commonly feed on both wild &amp; orchard fruits; Rats also feed on fallen fruit; Reject fruits commonly fed to stock including deer, suggesting feral deer will feed on fallen fruit &amp; disperse seeds (Sullivan &amp; Williams 2002).</t>
  </si>
  <si>
    <r>
      <t xml:space="preserve">Japan: intact seeds of </t>
    </r>
    <r>
      <rPr>
        <i/>
        <sz val="11"/>
        <rFont val="Calibri"/>
        <family val="2"/>
        <scheme val="minor"/>
      </rPr>
      <t>Actinidia</t>
    </r>
    <r>
      <rPr>
        <sz val="11"/>
        <rFont val="Calibri"/>
        <family val="2"/>
        <scheme val="minor"/>
      </rPr>
      <t xml:space="preserve"> spp. (</t>
    </r>
    <r>
      <rPr>
        <i/>
        <sz val="11"/>
        <rFont val="Calibri"/>
        <family val="2"/>
        <scheme val="minor"/>
      </rPr>
      <t>A. arguta</t>
    </r>
    <r>
      <rPr>
        <sz val="11"/>
        <rFont val="Calibri"/>
        <family val="2"/>
        <scheme val="minor"/>
      </rPr>
      <t xml:space="preserve"> &amp; </t>
    </r>
    <r>
      <rPr>
        <i/>
        <sz val="11"/>
        <rFont val="Calibri"/>
        <family val="2"/>
        <scheme val="minor"/>
      </rPr>
      <t>A. polygama</t>
    </r>
    <r>
      <rPr>
        <sz val="11"/>
        <rFont val="Calibri"/>
        <family val="2"/>
        <scheme val="minor"/>
      </rPr>
      <t xml:space="preserve">) found in mammal droppings - bear, marten, badger, fox &amp; racoon dog (Koike et al. 2008). Intact seeds of </t>
    </r>
    <r>
      <rPr>
        <i/>
        <sz val="11"/>
        <rFont val="Calibri"/>
        <family val="2"/>
        <scheme val="minor"/>
      </rPr>
      <t>A. arguta</t>
    </r>
    <r>
      <rPr>
        <sz val="11"/>
        <rFont val="Calibri"/>
        <family val="2"/>
        <scheme val="minor"/>
      </rPr>
      <t xml:space="preserve"> found in bear droppings (Takahashi et al. 2008).</t>
    </r>
  </si>
  <si>
    <t>Agapanthus praecox Willd.</t>
  </si>
  <si>
    <t>Agapanthus praecox</t>
  </si>
  <si>
    <t>agapanthus</t>
  </si>
  <si>
    <t>flowering stems 0.6-1.2m tall</t>
  </si>
  <si>
    <t>Esler 1988</t>
  </si>
  <si>
    <t>Agave americana L.</t>
  </si>
  <si>
    <t>Agave americana</t>
  </si>
  <si>
    <t>century plant</t>
  </si>
  <si>
    <t>scape 7-10m high</t>
  </si>
  <si>
    <t>tree?</t>
  </si>
  <si>
    <t>NZPCN: Thrives in dry conditions, coastal cliffs, sand dunes. NZ Flora online: bank, clay, cliff, coast, dry, gravel, lake margin, lava, lowland, open, pasture, ridge, roadside, rock outcrop, sand, scrubland, shrubland, silt, stone, terrace, track</t>
  </si>
  <si>
    <t>flattened seed</t>
  </si>
  <si>
    <t>ETNZF says unspecialised</t>
  </si>
  <si>
    <t>Based on dispersal of A. angustifolia: Wind; Diaspore is blown by wind; Direct or experimental observation; (Vazquez &amp; Givnish, 1998); Diaspore is winged. But A. potatorum doesn't have winged seeds. Agave seeds are dispersed by wind https://agaveinarizona.wordpress.com/2014/01/27/agave-americana-seeds/comment-page-1/</t>
  </si>
  <si>
    <t>probably wind-dispersed</t>
  </si>
  <si>
    <t>Ageratina adenophora (Spreng.) R.M.King &amp; H.Rob.</t>
  </si>
  <si>
    <t>Ageratina adenophora</t>
  </si>
  <si>
    <t>Eupatorium adenophorum</t>
  </si>
  <si>
    <t>Mexican devil, cats paw</t>
  </si>
  <si>
    <t>herb to subshrub</t>
  </si>
  <si>
    <t>shrub?</t>
  </si>
  <si>
    <t xml:space="preserve">NZPCN: Lightly shaded frost-free areas, e.g. forest edges, shrublands, wetlands, streamsides, open forest, inshore and offshore islands, gumlands, slips, alluvial flats, coast and estuaries; NZ Flora Online: clay, coast, dry, forest, gap, gully, lava, log, margin, moist, open, ridge, roadside, scrubland, shaded, slope, stone, track </t>
  </si>
  <si>
    <t>achene</t>
  </si>
  <si>
    <t>pappus</t>
  </si>
  <si>
    <t>Timmins &amp; Mackenzie 1995; Fromont &amp; King 1992</t>
  </si>
  <si>
    <t>wind dispersed (Cronk &amp; Fuller 1995)</t>
  </si>
  <si>
    <t>Ageratina riparia (Regel) R.M.King &amp; H.Rob.</t>
  </si>
  <si>
    <t>Ageratina riparia</t>
  </si>
  <si>
    <t>mist flower</t>
  </si>
  <si>
    <t>NZPCN: coastal, lowland (Timmins &amp; MacKenzie 1995). Forest margin, damp banks and streamsides, slips (Timmins &amp; MacKenzie 1995). NZ Flora Online: bank, clay, coast, forest, gorge, gully, hill, loam, lowland, margin, moist, open, pasture, roadside, sand, shaded, sheltered, shrubland, slope, stone, wasteland.</t>
  </si>
  <si>
    <t>Ageratum houstonianum Mill.</t>
  </si>
  <si>
    <t>Ageratum houstonianum</t>
  </si>
  <si>
    <t>ageratum</t>
  </si>
  <si>
    <t>ETNZF says seeds dispersed in birds gut, but fruit is dry</t>
  </si>
  <si>
    <t>NZ Flora Online: bank, clay, dry, gap, hill, lake margin, margin, open, pasture, ridge, river terrace, roadside, sand, sheltered, slope, stone, terrace, track, wasteland; NZPCN: Prefers open sunny spots along forest edges</t>
  </si>
  <si>
    <t>riparian?</t>
  </si>
  <si>
    <t>NZPCN 19 June 2022</t>
  </si>
  <si>
    <t>NZPCN 19 June 2022: Dispersed by people and the wind.</t>
  </si>
  <si>
    <r>
      <rPr>
        <sz val="11"/>
        <rFont val="Calibri"/>
        <family val="2"/>
        <scheme val="minor"/>
      </rPr>
      <t xml:space="preserve">Based on A. conyzoides: </t>
    </r>
    <r>
      <rPr>
        <b/>
        <sz val="11"/>
        <rFont val="Calibri"/>
        <family val="2"/>
        <scheme val="minor"/>
      </rPr>
      <t>Animal</t>
    </r>
    <r>
      <rPr>
        <sz val="11"/>
        <rFont val="Calibri"/>
        <family val="2"/>
        <scheme val="minor"/>
      </rPr>
      <t xml:space="preserve">; Diaspore is carried accidentally; Assumption based upon diaspore morphology; (Mori &amp; Brown, 1998); Diaspore=fruit. The diaspore has spiny, spiky, hooked or barbed projections or awns. </t>
    </r>
    <r>
      <rPr>
        <b/>
        <sz val="11"/>
        <rFont val="Calibri"/>
        <family val="2"/>
        <scheme val="minor"/>
      </rPr>
      <t>Wind</t>
    </r>
    <r>
      <rPr>
        <sz val="11"/>
        <rFont val="Calibri"/>
        <family val="2"/>
        <scheme val="minor"/>
      </rPr>
      <t>; Assumption based upon diaspore morphology; (Foster et al., 1986)</t>
    </r>
  </si>
  <si>
    <t>Agrostis capillaris L.</t>
  </si>
  <si>
    <t>Agrostis capillaris</t>
  </si>
  <si>
    <t>browntop</t>
  </si>
  <si>
    <t>grass</t>
  </si>
  <si>
    <t>NZ Flora Online:  alpine, bank, clay, cliff, coast, dry, flat , forest, forest edge, gap, grassland, gravel, hill, lake margin, log, lowland, margin, open, pasture, peat, ridge, roadside, rock outcrop, scree, shaded, sheltered, shrubland, silt, slope, stone, terrace, track, wasteland ; NZPCN: scrub and forest margin, both short and tall tussocklands, herbfields, fernlands, sanddunes and river beds</t>
  </si>
  <si>
    <t>caryopsis</t>
  </si>
  <si>
    <t>none</t>
  </si>
  <si>
    <t>Timmins &amp; Mackenzie 1995; Couvreur et al. 2004; Mouissie et al. 2005; Albert et al. 2015</t>
  </si>
  <si>
    <t>Seed dispersed by wind, water, humans and vertebrates (Timmins &amp; MacKenzie 1995).</t>
  </si>
  <si>
    <t>seeds attached to real sheep fleece in considerable numbers, also attached to both sheep and cattle experimental dummies (Mouissie et al. 2005); Seeds dispersed by deer internally and attached to hooves (Albert et al. 2015); seeds dispersed attached to cattle, donkey and horse fur (Couvreur et al. 2004).</t>
  </si>
  <si>
    <t>Ailanthus altissima (Mill.) Swingle</t>
  </si>
  <si>
    <t>Ailanthus altissima</t>
  </si>
  <si>
    <t>Toxicodendron altissimus</t>
  </si>
  <si>
    <t>tree of heaven</t>
  </si>
  <si>
    <t>NZ Flora Online: bank, clay, coast, dry, flat, forest edge, gravel, gully, hill, lowland, margin, open, pasture, river terrace, roadside, sand, sheltered, shrubland, slope, stone, terrace, wasteland</t>
  </si>
  <si>
    <t>200-7500</t>
  </si>
  <si>
    <t>Kaproth &amp; McGraw 2008; Farmer 1997</t>
  </si>
  <si>
    <t>Kaproth &amp; McGraw 2008: primarily dispersed by wind, but seeds have high viability after 5 months in water. Dispersal distances by water longer than wind. Farmer 1997 (cited in Kew SID): Diaspore is blown by wind; Direct or experimental observation; Diaspore=samara. The diaspore has wings or wing-like features.</t>
  </si>
  <si>
    <t>Akebia quinata Decne.</t>
  </si>
  <si>
    <t>Akebia quinata</t>
  </si>
  <si>
    <t>chocolate vine, five-leafed akebia</t>
  </si>
  <si>
    <t>fruits rare; numerous seeds embedded in translucent gelatinous pulp</t>
  </si>
  <si>
    <t>berry-like dehiscent</t>
  </si>
  <si>
    <t>Koike et al. 2008; Takahashi et al. 2008</t>
  </si>
  <si>
    <t>rare</t>
  </si>
  <si>
    <t>aquatic</t>
  </si>
  <si>
    <t>Allium triquetrum L.</t>
  </si>
  <si>
    <t>Allium triquetrum</t>
  </si>
  <si>
    <t>onion weed</t>
  </si>
  <si>
    <t>plant up to 0.5m tall, scape up to 0.6 high</t>
  </si>
  <si>
    <t>NZ Flora Online: bank, clay, dry, forest, gravel, hill, lowland, moist, open, pasture, roadside, sand, shaded, slope, stone, terrace, tree, wasteland; NZPCN: Disturbed forest and shrubland, streamsides, herbfields, bare land. Especially after spraying or other clearance to bare land.</t>
  </si>
  <si>
    <t>elaiosome</t>
  </si>
  <si>
    <t>Pemberton &amp; Irving 1990</t>
  </si>
  <si>
    <t>has no structures directly aiding active seed dispersal and medium-sized seeds (1-10 mg) (Esler 1988).</t>
  </si>
  <si>
    <t>seed has an elaiosome (Pemberton &amp; Irving 1990)</t>
  </si>
  <si>
    <t>Alnus glutinosa (L.) Gaertn.</t>
  </si>
  <si>
    <t>Alnus glutinosa</t>
  </si>
  <si>
    <t>common alder</t>
  </si>
  <si>
    <t>catkin</t>
  </si>
  <si>
    <t>winged nut, unwettable, floating tissue, very light seeds</t>
  </si>
  <si>
    <t>Young, J.A. and Young, C.G. 1992. Seeds of Woody Plants in North America. Dioscorides Press, Oregon, Portland. Cited in Kew Seed Information Database; Couvreur et al. 2004; Rosenthal 2006; Albert et al. 2015</t>
  </si>
  <si>
    <t>Diaspore is blown by wind; Direct or experimental observation (Young &amp; Young 1992, cited in Kew SID); Diaspore=nut. The diaspore has wings or wing-like features. Seeds have been known to remain viable after floating in freshwater for 12 months. Wind - winged seed; water - unwettable, floating tissue, specific weight &lt;1 (Rosenthal 2006). Seeds dispersed by deer in fur and on hooves (Albert et al. 2015); seeds dispersed attached to cattle fur (Couvreur et al. 2004)</t>
  </si>
  <si>
    <t>Alocasia brisbanensis</t>
  </si>
  <si>
    <t>Alocasia macrorrhiza</t>
  </si>
  <si>
    <t>Elephant's ear</t>
  </si>
  <si>
    <t>NZ Flora Online: bank, dry, hill, lowland, margin, moist, open, pasture, riparian, roadside, sand, shrubland, slope, stone, terrace. NZPCN: Wetlands, streamsides, river systems, heavily disturbed shrubland and forest, damp frost-free open areas, regenerating ex-pasture.</t>
  </si>
  <si>
    <t>West 1996</t>
  </si>
  <si>
    <t>Widespread distribution throughout Raoul Island and onto the Meyer Islets has probably resulted from birds dispersing the seeds (West 1996). Bird-dispersed (West 1996)</t>
  </si>
  <si>
    <t>Aloe maculata All.</t>
  </si>
  <si>
    <t>Aloe maculata</t>
  </si>
  <si>
    <t>Aloe saponaria in Flora</t>
  </si>
  <si>
    <t>spotted aloe, soap aloe</t>
  </si>
  <si>
    <t>NZPCN website; accessed 11 April 2023: seed apparently not formed; Probably exclusively vegetative in New Zealand</t>
  </si>
  <si>
    <t>NZPCN website, accessed 11 April 2023</t>
  </si>
  <si>
    <t>Probably exclusively vegetative spread in NZ.</t>
  </si>
  <si>
    <t>Alternanthera philoxeroides (Mart.) Griseb.</t>
  </si>
  <si>
    <t>Alternanthera philoxeroides</t>
  </si>
  <si>
    <t>alligator weed</t>
  </si>
  <si>
    <t>Does not produce seeds (Timmins &amp; Mackenzie 1995); has undeveloped seeds (Esler 1988); Fruit not seen (NZ Flora Online)</t>
  </si>
  <si>
    <t>utricle</t>
  </si>
  <si>
    <t>Ammophila arenaria</t>
  </si>
  <si>
    <t>marram grass</t>
  </si>
  <si>
    <t>seed production appears to be low (Timmins &amp; Mckenzie 1995); Low amounts of seed are produced. Seed viability is low, with no contribution to the seed bank (NZPCN).</t>
  </si>
  <si>
    <t>NZ Flora Online: coast, dry, grassland, moist, open, pasture, sand, shrubland, slope; NZPCN: Coastal plant, usually occurs on sand dunes, can occur in inland sites with low fertility.</t>
  </si>
  <si>
    <t>ring of hairs at base of lemma and palea (James et al. 2012)</t>
  </si>
  <si>
    <t>Timmins &amp; Mackenzie 1995; Atkinson 1997; Bouman et al. 2000 cited in Kew SID.</t>
  </si>
  <si>
    <t xml:space="preserve">NZPCN: Can spread large distances via seed. Seed is dispersed by wind. </t>
  </si>
  <si>
    <t>Amphilophium crucigerum (L.) L.G.Lohmann</t>
  </si>
  <si>
    <t>Amphilophium crucigerum</t>
  </si>
  <si>
    <t>Pithecoctenium crucigerum</t>
  </si>
  <si>
    <t>monkey's comb</t>
  </si>
  <si>
    <t>not in Flora; Clayson's notes: vine; NZPCN 16 June 2022: vine, fruit is a large flattened woody capsule (up to 30 x 7 cm) that is very spiny, and contains winged seeds.</t>
  </si>
  <si>
    <t>Ogle, C. (2022): Amphilophium crucigerum Fact Sheet (content continuously updated). New Zealand Plant Conservation Network. https://www.nzpcn.org.nz/flora/species/amphilophium-crucigerum/ (16 June 2022)</t>
  </si>
  <si>
    <t>dispersal based on seed morphology</t>
  </si>
  <si>
    <t>Andropogon virginicus L.</t>
  </si>
  <si>
    <t>Andropogon virginicus</t>
  </si>
  <si>
    <t>broomsedge</t>
  </si>
  <si>
    <t>anthers and caryopsis not seen (Webb et al. 1988)</t>
  </si>
  <si>
    <t>flowers sterile or not developed (Cronk &amp; Fuller 1995)</t>
  </si>
  <si>
    <t>Angelica pachycarpa Lange</t>
  </si>
  <si>
    <t>Angelica pachycarpa</t>
  </si>
  <si>
    <t>angelica</t>
  </si>
  <si>
    <t>NZ Flora Online: cliff, coast, dry, grassland, gravel, moist, open, pasture, roadside, rock outcrop, shaded, sheltered, shrubland, silt, slope, stone, terrace, wasteland; NZPCN: Mainly coastal, waste places</t>
  </si>
  <si>
    <t>schizocarp</t>
  </si>
  <si>
    <t>flattened fruit with lighter, spongy lateral wings</t>
  </si>
  <si>
    <t>Ecological Flora of the Bristish Isles; NZPCN</t>
  </si>
  <si>
    <t>dispersed by humans, wind, water (NZPCN)</t>
  </si>
  <si>
    <r>
      <t>Angelica sylvestris</t>
    </r>
    <r>
      <rPr>
        <sz val="11"/>
        <rFont val="Calibri"/>
        <family val="2"/>
        <scheme val="minor"/>
      </rPr>
      <t xml:space="preserve"> dispersed by water (Ecological Flora of the British Isles)</t>
    </r>
  </si>
  <si>
    <t>Anredera cordifolia (Ten.) Steenis</t>
  </si>
  <si>
    <t>Anredera cordifolia</t>
  </si>
  <si>
    <t>madeira vine</t>
  </si>
  <si>
    <t>indehiscent</t>
  </si>
  <si>
    <t>Aponogeton distachyos L.f.</t>
  </si>
  <si>
    <t>Aponogeton distachyos</t>
  </si>
  <si>
    <t>cape pondweed</t>
  </si>
  <si>
    <t>freshwater aquatic</t>
  </si>
  <si>
    <t>NZ Flora Online: freshwater aquatic; NZPCN: Still and flowing water bodies</t>
  </si>
  <si>
    <t>follicle</t>
  </si>
  <si>
    <t>seeds have green spongy outer testa</t>
  </si>
  <si>
    <t>Cook 1987, cited in Kew SID</t>
  </si>
  <si>
    <t>Water; Method not stated; (Cook, 1987, cited in Kew SID)</t>
  </si>
  <si>
    <t>Araujia hortorum</t>
  </si>
  <si>
    <t>moth vine, moth plant</t>
  </si>
  <si>
    <t>vine; fruit split lengthwise to release numerous blackish-coloured seeds (4-8 mm long) that are topped with a tuft of long white silky hairs (20-30 mm long)</t>
  </si>
  <si>
    <t>NZ Flora Online: hill, roadside, sand, shrubland; Timmins &amp; McKenzie: coastal, lowland cliff, bluff, waste places and other modified habitats</t>
  </si>
  <si>
    <t>seeds topped with a tuft of long hairs</t>
  </si>
  <si>
    <t>Timmins &amp; McKenzie 1995</t>
  </si>
  <si>
    <t>Archontophoenix cunninghamiana</t>
  </si>
  <si>
    <t>bangalow palm</t>
  </si>
  <si>
    <t>not in Flora - recent naturalisation. Info available on Weedbusters website.</t>
  </si>
  <si>
    <t>Weedbusters: gullies, stream banks, swampy areas. Grows readily in shaded area of canopy cover.</t>
  </si>
  <si>
    <t>Weedbusters; Kew SID</t>
  </si>
  <si>
    <t>Bird spread the seeds long distances. Also spread by water and gravity. (Weedbusters https://www.weedbusters.org.nz/what-are-weeds/weed-list/bangalow-palm/, accessed 15/6/2023</t>
  </si>
  <si>
    <t>Birds dispersed (Kew SID)</t>
  </si>
  <si>
    <t>Arctium minus</t>
  </si>
  <si>
    <t>burdock</t>
  </si>
  <si>
    <t>NZ Flora Online:  bank, coast, forest, forest edge, grassland, hill, lowland, margin, open, pasture, riverbed, roadside, sand, slope, stone, terrace, track, wasteland; NZPCN: Forest margins, waste places, roadsides, creek beds.</t>
  </si>
  <si>
    <t xml:space="preserve">pappus; hooked involucral bracts and ready detachment of mature head </t>
  </si>
  <si>
    <t>Esler 1988; Green 2015; NZPCN</t>
  </si>
  <si>
    <r>
      <t xml:space="preserve">Capitual is desseminal due to hooked involucral bracts and ready detachment of mature head (Esler 1988). Dispersed by wind, water, people (NZPCN); </t>
    </r>
    <r>
      <rPr>
        <i/>
        <sz val="11"/>
        <rFont val="Calibri"/>
        <family val="2"/>
        <scheme val="minor"/>
      </rPr>
      <t>Arctium lappa</t>
    </r>
    <r>
      <rPr>
        <sz val="11"/>
        <rFont val="Calibri"/>
        <family val="2"/>
        <scheme val="minor"/>
      </rPr>
      <t xml:space="preserve"> has adhesion mechanisms and is found in sheeps fleece (Webb et al. 1988).</t>
    </r>
  </si>
  <si>
    <t>Experimental feeding trials showed viable seeds retained in waterfowl gut, including mallard, up to 8 hours (Green 2015); Arctium lappa: Animal; Diaspore is carried accidentally; Method not stated; (Bouman et al., 2000, cited in Kew SID); Mammals (non-bat).; Diaspore has spines, hooks or barbs. A. lappa has burrs dispersed by adhesion (Sorensen 1986)</t>
  </si>
  <si>
    <t>Aristea ecklonii Baker</t>
  </si>
  <si>
    <t>Aristea ecklonii</t>
  </si>
  <si>
    <t>blue-eyed iris</t>
  </si>
  <si>
    <t>plant up to 0.8m; flower clusters borne at tips of stems, scapes to 0.45m high</t>
  </si>
  <si>
    <t>NZ Flora Online: bank, clay, coast, dry, hill, lowland, open, pasture, ridge, roadside, wetland; NZPCN: Shrubland, open and disturbed forest (esp Kauri), herbfields, bush margins, gumland, coastline, rocky and bare land, especially in warm areas.</t>
  </si>
  <si>
    <t>NZPCN: seed dispersed by people, wind, water; ETNZF says unspecialised</t>
  </si>
  <si>
    <t>Artemisia verlotiorum Lamotte</t>
  </si>
  <si>
    <t>Artemisia verlotiorum</t>
  </si>
  <si>
    <t>Chinese mugwort</t>
  </si>
  <si>
    <t>Peter de Lange pers. comm. 20/7/2022: never seen setting seed</t>
  </si>
  <si>
    <t>Mosyakin et al. 2019</t>
  </si>
  <si>
    <t>A. verlotiorum is a long-lived rhizomatous perennial forming large colonies by vegetative propagation, sometimes combined with sexual reproduction and seed dispersal; although dispersal by means of fragments of underground parts (rhizomes &amp; stolons) in soil and plant material seems to be the primary mode, at least in Europe (Verloove et al. 2021).</t>
  </si>
  <si>
    <t>Arum italicum Mill.</t>
  </si>
  <si>
    <t>Arum italicum</t>
  </si>
  <si>
    <t>Italian arum</t>
  </si>
  <si>
    <t>25–60 cm high</t>
  </si>
  <si>
    <t>NZ Flora Online: bank, cliff, forest, hill, lowland, moist, open, pasture, roadside, rock outcrop, sand, shrubland, silt, terrace, wasteland. NZPCN: Heavily disturbed shrubland and forest, herbfield, damp areas with low cover, regenerating ex-pasture</t>
  </si>
  <si>
    <t>Webb et al. 1988; Esler 1988; check Thompson 1976</t>
  </si>
  <si>
    <t>"Observations in New Zealand suggest that domestic poultry &amp; wild birds may be agents of dispersal" (Webb et al. 1988). probably bird-dispersed but this has not been confirmed by direct observation (Esler 1988).</t>
  </si>
  <si>
    <t>Arundo donax L.</t>
  </si>
  <si>
    <t>Arundo donax</t>
  </si>
  <si>
    <t>giant reed</t>
  </si>
  <si>
    <t>NZPCN: Little or no seed set in New Zealand; NZ Flora Online: Caryopsis not seen</t>
  </si>
  <si>
    <t>NZ Flora Online: bank, clay, cliff, coast, dry, gorge, lowland, margin, moist, open, pasture, ridge, riparian, roadside, rock outcrop, sand, scrubland, sheltered, shrubland, silt, slope, stone, tussockland, unstable/eroded, wasteland, wetland; NZPCN: Often aquatic. Emergent. Moist forest communities, lowland and coastal forest, streamside and gully communities, intertidal areas, shrublands, alluvial areas, roadsides, farm hedges, wastelands, domestic gardens, coastal areas in general. Prefers areas where the soil does not dry out completely.</t>
  </si>
  <si>
    <t>Fromont &amp; King 1992; 1.Cook, C.D.K. 1987. Dispersion in aquatic and amphibious vascular plants. In: Plant Life in Aquatic Habitats (Ed. by R.M.M. Crawford), pp. 179-190. Special Publication no 5, British Ecological Society. Blackwell Scientific Publications, Oxford.</t>
  </si>
  <si>
    <t>Asparagus aethiopicus L.</t>
  </si>
  <si>
    <t>Asparagus aethiopicus</t>
  </si>
  <si>
    <t>bushy asparagus</t>
  </si>
  <si>
    <t>NZ Flora Online: bank, cliff, coast, dry, margin, open, pasture, roadside, rock outcrop, sand, shaded, sheltered, shrubland, stone</t>
  </si>
  <si>
    <t>Asparagus asparagoides</t>
  </si>
  <si>
    <t>smilax</t>
  </si>
  <si>
    <t>low growing creeper or climber</t>
  </si>
  <si>
    <t>NZ Flora online:  bank, clay, cliff, coast, dry, forest, gravel, gully, hill, lava, loam, lowland, margin, open, pasture, roadside, rock outcrop, sand, scrubland, shaded, sheltered, shrubland, slope, stone, terrace, track, wasteland. NZPCN: Thrives in impoverished soils, bare rock and volcanic soils. Likes good drainage. Coastal areas, open rocklands, shrubland, roadsides, hedges, wastelands, inshore and offshore islands. Plants are typically found under tree canopies which is largely due to bird movement but also reflects greater seedling establishment in leaf litter and better growth in shaded or part-shaded environments.</t>
  </si>
  <si>
    <t>Fromont &amp; King 1992; van der Pijl 1982, cited in Kew SID</t>
  </si>
  <si>
    <t>Dispersed by birds (Fromont &amp; King 1992); Asparagus spp. have succulent fruits which are dispersed by birds quite effectively (Esler 1988).</t>
  </si>
  <si>
    <t>dispersed by ants (van der Pijl 1982, cited in Kew SID)</t>
  </si>
  <si>
    <t>Asparagus scandens Thunb.</t>
  </si>
  <si>
    <t>Asparagus scandens</t>
  </si>
  <si>
    <t>climbing asparagus</t>
  </si>
  <si>
    <t>NZ Flora Online: bank, cliff, coast, dry, flat , forest, gully, hill, lava, loam, lowland, margin, open, pasture, roadside, rock outcrop, sand, shaded, sheltered, shrubland, slope, terrace. NZPCN: lowland and coastal forest, shrublands, mature broadleaf/podocarp forests especially those of light to moderate shade, streams, coastal areas, shrublands, epiphytic niches, roadsides, gravel pits/quarries, farm hedges, house gardens and wasteland areas. Can infest unmodified and fully intact forest.</t>
  </si>
  <si>
    <t>Timmins &amp; Mackenzie 1995; Atkinson 1997; Fromont &amp; King 1992</t>
  </si>
  <si>
    <t>Spread by birds, especially blackbirds (Fromont &amp; King 1992); Asparagus spp. have succulent fruits which are dispersed by birds quite effectively (Esler 1988).</t>
  </si>
  <si>
    <t>Asphodelus fistulosus L.</t>
  </si>
  <si>
    <t>Asphodelus fistulosus</t>
  </si>
  <si>
    <t>NZ Flora Online: bank, cliff, coast, dry, gravel, open, roadside, rock outcrop, sand, slope, stone, unstable/eroded, wasteland, wetland; NZPCN: Usually coastal areas</t>
  </si>
  <si>
    <t>unknown</t>
  </si>
  <si>
    <t>this study</t>
  </si>
  <si>
    <t>seed dispersal based on morphology, no obvious dispersal adaptations</t>
  </si>
  <si>
    <t>Azolla pinnata R.Br.</t>
  </si>
  <si>
    <t>Azolla pinnata</t>
  </si>
  <si>
    <t>ferny azolla</t>
  </si>
  <si>
    <t>spore</t>
  </si>
  <si>
    <t>fern</t>
  </si>
  <si>
    <t>Baccharis halimifolia L.</t>
  </si>
  <si>
    <t>Baccharis halimifolia</t>
  </si>
  <si>
    <t>cotton seed tree</t>
  </si>
  <si>
    <t>Seeds have been recorded as drifting up to 140 m from a 2 m high plant. However, most seeds fall within a few metres of the parent plant (Sims-Chilton &amp; Panetta 2011)</t>
  </si>
  <si>
    <t>Sims-Chilton &amp; Panetta 2011</t>
  </si>
  <si>
    <t>seeds are attached to a pappus and are readily dispersed by wind and water (Sims-Chilton &amp; Panetta 2011).</t>
  </si>
  <si>
    <t>Banksia integrifolia L.f.</t>
  </si>
  <si>
    <t>Banksia integrifolia</t>
  </si>
  <si>
    <t>coastal banksia</t>
  </si>
  <si>
    <t>large shrub or small tree</t>
  </si>
  <si>
    <t>NZ Flora Online: bank, clay, cliff, coast, dry, forest, hill, loam, lowland, margin, moist, open, pasture, peat, ridge, roadside, rock outcrop, sand, scrubland, sheltered, shrubland, silt, slope, stone, terrace, wasteland, wetland</t>
  </si>
  <si>
    <t>cone</t>
  </si>
  <si>
    <t>300 m</t>
  </si>
  <si>
    <t>Australian National Herbarium https://www.anbg.gov.au/banksia/, accessed 1/6/2023; Weedbusters website https://www.weedbusters.org.nz/what-are-weeds/weed-list/coastal-banksia/, accessed 1/6/2023</t>
  </si>
  <si>
    <t>Spreads locally by seed fall and wind dispersal up to at least 300m from seeding trees.</t>
  </si>
  <si>
    <t>seeds are released spontaneously upon maturity (Price &amp; Morgan 2003)</t>
  </si>
  <si>
    <t>Bartlettina sordida (Less.) R.M.King &amp; H.Rob.</t>
  </si>
  <si>
    <t>Bartlettina sordida</t>
  </si>
  <si>
    <t>Bartlettina</t>
  </si>
  <si>
    <t>NZ Flora Online: bank, clay, dry, forest, lowland, margin, open, pasture, ridge, roadside, scrubland, sheltered, slope, wasteland</t>
  </si>
  <si>
    <t>Bellis perennis L.</t>
  </si>
  <si>
    <t>Bellis perennis</t>
  </si>
  <si>
    <t>double daisy</t>
  </si>
  <si>
    <t>peduncle (flower stalk) 3-15 (-25) cm long</t>
  </si>
  <si>
    <t>Albert et al. 2015; Kew SID</t>
  </si>
  <si>
    <t>pappus absent</t>
  </si>
  <si>
    <t>Combination: wind+animal+unassisted; Method not stated; (van der Pijl, 1982); Also dispersed by water. Diaspore=achene. Achenes fall beneath/close to the parent plant and are possibly thrown further from the plant by the action of wind on the peduncle and infrutescence. Granivorous birds and rainwash are probably also involved in dispersal; Seeds are dispersed internally by deer (Albert et al. 2015).</t>
  </si>
  <si>
    <t>Berberis darwinii Hook.</t>
  </si>
  <si>
    <t>Berberis darwinii</t>
  </si>
  <si>
    <t>Darwin's barberry</t>
  </si>
  <si>
    <t>shrub to C. 4 m high</t>
  </si>
  <si>
    <t>NZ Flora Online: bank, clay, cliff, coast, dry, forest, forest edge, gully, hill, lake margin, loam, lowland, margin, open, pasture, ridge, roadside, rock outcrop, sand, scrubland, shaded, sheltered, slope, stone, terrace, track, unstable/eroded. NZPCN: low forest, scrub, forest margins and shrublands. Plant found in remnant forest stands, scrub, along forest and plantation margins, roadsides in Chile (Webb, Sykes and Garnock-Jones 1988). Plant found in forest margins, second-growth bush, scrub, plantations and roadsides.</t>
  </si>
  <si>
    <t>Timmins &amp; Mackenzie 1995; Burrows 1995</t>
  </si>
  <si>
    <t>bird dispersed (Burrows 1995)</t>
  </si>
  <si>
    <t>England: fruits much sought after by birds in summer, especially in dry weather &amp; largely by juvenile blackbirds (Snow &amp; Snow 1988).</t>
  </si>
  <si>
    <t>Berberis glaucocarpa Stapf</t>
  </si>
  <si>
    <t>Berberis glaucocarpa</t>
  </si>
  <si>
    <t>barberry</t>
  </si>
  <si>
    <t>shrub to c. 7 m high</t>
  </si>
  <si>
    <t xml:space="preserve">NZ Flora Online: bank, clay, cliff, coast, dry, forest, forest edge, gorge, gully, hill, loam, lowland, margin, moist, open, pasture, ridge, riparian, roadside, rock outcrop, sand, shaded, sheltered, shrubland, silt, slope, stone, terrace, track, wasteland, wetland </t>
  </si>
  <si>
    <t>Williams &amp; Karl 1996; Wyman &amp; Kelly 2017</t>
  </si>
  <si>
    <t>Intact seeds found in possum droppings (Wyman &amp; Kelly 2017)</t>
  </si>
  <si>
    <t>Betula pendula Roth</t>
  </si>
  <si>
    <t>Betula pendula</t>
  </si>
  <si>
    <t>silver birch</t>
  </si>
  <si>
    <t>NZ Flora Online:  dry, gravel, lowland, margin, montane, open, sand, stone, terrace, wasteland; NZPCN: wetland</t>
  </si>
  <si>
    <t>light nutlet with large wing</t>
  </si>
  <si>
    <t>Webb et al. 1988; Kew SID; Mouissie et al. 2005; Albert et al. 2015</t>
  </si>
  <si>
    <t>light, wind-dispersed fruits with bracts (Webb et al. 1988)</t>
  </si>
  <si>
    <t>Wind; Diaspore is blown by wind; Method not stated; (Young &amp; Young, 1992, cited in Kew SID); Diaspore=nut. The diaspore has wings or wing-like features. Combination: wind+animal; Method not stated; (Bouman et al., 2000, cited in Kew SID); seeds dispersed by deer internally (sometimes) and in fur and hooves (always; Albert et al. 2015); seeds occasionally attached to fleece on experimental sheep dummy but not cattle dummy (Mouissie et al. 2005)</t>
  </si>
  <si>
    <t>Bidens frondosa L.</t>
  </si>
  <si>
    <t>Bidens frondosa</t>
  </si>
  <si>
    <t>beggars' ticks</t>
  </si>
  <si>
    <t>NZ Flora Online: bank, clay, coast, dry, forest, gravel, lake margin, lowland, margin, moist, pasture, peat, riparian, roadside, sand, silt, stone, terrace, wasteland; NZPCN: Water body margins, swamps, damp waste places and low-lying areas</t>
  </si>
  <si>
    <t>pappus with barbed awns; barbed spines; seeds have two sharp barbs (NZ Flora Online); adhesive burr</t>
  </si>
  <si>
    <t>Esler 1988; Couvreur et al. 2004; Reynolds &amp; Cumming 2016; Kehr et al. 2014; NZPCN</t>
  </si>
  <si>
    <r>
      <t>Bidens</t>
    </r>
    <r>
      <rPr>
        <sz val="11"/>
        <rFont val="Calibri"/>
        <family val="2"/>
        <scheme val="minor"/>
      </rPr>
      <t xml:space="preserve"> spp. have barbed spines which cling to clothing and animal coats (Esler 1988); two barbed teeth easily attaching to clothing and hair (NZPCN, factsheet prepared by Paul Champion and Deborah Hofstra (NIWA))</t>
    </r>
  </si>
  <si>
    <t>B. frondosa dispersed by hydrochory, sampled in river (Kehr et al. 2014); seeds dispersed attached to cattle and donkey fur (Couvreur et al. 2004); B. pilosa: dispersed by water birds via both endo- and ectozoochory (Reynolds &amp; Cumming 2016); B. pilosa: Animal, Diaspore is carried accidentally, assumption based upon diaspore morphology, Diaspore=fruit, diaspore has spiny, spiky, hooked or barbed projections or awns (Mori &amp; Brown 1998, cited in Kew SID).</t>
  </si>
  <si>
    <t>Bomarea multiflora</t>
  </si>
  <si>
    <t>vine; fruit is a capsule that splits to release bright orange or red fleshy seeds</t>
  </si>
  <si>
    <t>NZ Flora Online: bank, dry, forest, gully, hill, lowland, margin, open, pasture, roadside, sheltered, shrubland, slope, terrace</t>
  </si>
  <si>
    <t>dehiscent capsule with fleshy seeds</t>
  </si>
  <si>
    <t>seed dispersal based on seed morphology</t>
  </si>
  <si>
    <t>Bromus tectorum L.</t>
  </si>
  <si>
    <t>Bromus tectorum</t>
  </si>
  <si>
    <t>cheat grass</t>
  </si>
  <si>
    <t>NZ Flora Online: bank, coast, dry, grassland, gravel, hill, loam, lowland, montane, open, pasture, ridge, roadside, rock outcrop, sand, slope, terrace, track, wasteland</t>
  </si>
  <si>
    <t>long awns</t>
  </si>
  <si>
    <t>Eichberg et al. 2007; Albert et al. 2015; Cronk &amp; Fuller 1995; Rutledge, C.R. and T. McLendon. sine anno. An Assessment of Exotic Plant Species of Rocky Mountain National Park. Department of Rangeland Ecosystem Science, Colorado State University. Online. Available: http://www.npwrc.usgs.gov/resource/plants/explant/index.htm). 29/10/07</t>
  </si>
  <si>
    <r>
      <t>Bromus hordaceaous</t>
    </r>
    <r>
      <rPr>
        <sz val="11"/>
        <rFont val="Calibri"/>
        <family val="2"/>
        <scheme val="minor"/>
      </rPr>
      <t xml:space="preserve"> has no structures directly aiding active seed dispersal and medium-sized seeds (1-10 mg). </t>
    </r>
    <r>
      <rPr>
        <i/>
        <sz val="11"/>
        <rFont val="Calibri"/>
        <family val="2"/>
        <scheme val="minor"/>
      </rPr>
      <t>B. fonkii</t>
    </r>
    <r>
      <rPr>
        <sz val="11"/>
        <rFont val="Calibri"/>
        <family val="2"/>
        <scheme val="minor"/>
      </rPr>
      <t xml:space="preserve"> and </t>
    </r>
    <r>
      <rPr>
        <i/>
        <sz val="11"/>
        <rFont val="Calibri"/>
        <family val="2"/>
        <scheme val="minor"/>
      </rPr>
      <t>B. willdenowii</t>
    </r>
    <r>
      <rPr>
        <sz val="11"/>
        <rFont val="Calibri"/>
        <family val="2"/>
        <scheme val="minor"/>
      </rPr>
      <t xml:space="preserve"> have no structures directly aiding active seed dispersal and large seeds &gt;10 mg (Esler 1988).</t>
    </r>
  </si>
  <si>
    <t>Animal; Diaspore is carried accidentally; Method not stated; (Rutledge &amp; McLendon, sine anno); Mammals (non-bat).; Also dispersed by wind (Kew SID). wind dispersed (Cronk &amp; Fuller 1995); seeds are dispersed in deer fur (always; Albert et al. 2015); seeds germinated from sheep faeces (Eichberg et al. 2007)</t>
  </si>
  <si>
    <t>Bryonia cretica L.</t>
  </si>
  <si>
    <t>Bryonia cretica</t>
  </si>
  <si>
    <t>Bryonia dioica</t>
  </si>
  <si>
    <t>white bryony</t>
  </si>
  <si>
    <t>genus not in flora (see NZ Flora Online B. cretica subsp. dioica and NZPCN website); tendril-climbing herbaceous plant; vine to 6 m tall</t>
  </si>
  <si>
    <t>NZPCN: Disturbed and open forest and shrubland, stream edges</t>
  </si>
  <si>
    <t>Seed dispersed by birds (NZPCN)</t>
  </si>
  <si>
    <t>England: fruits eaten by blackbird, song thrush &amp; other bird species (Snow &amp; Snow 1988). Czechoslovakia: fruits eaten by starling (Snow &amp; Snow 1988).</t>
  </si>
  <si>
    <t>Bryophyllum pinnatum</t>
  </si>
  <si>
    <t>air plant</t>
  </si>
  <si>
    <t>Any seed which is formed is unlikely to be fertile (Webb et al. 1988)</t>
  </si>
  <si>
    <t>Buddleja davidii Franch.</t>
  </si>
  <si>
    <t>Buddleja davidii</t>
  </si>
  <si>
    <t>buddleia</t>
  </si>
  <si>
    <t>NZ Flora Online: bank, clay, cliff, coast, dry, forest, forest edge, gap, gorge, gravel, hill, lava, lowland, margin, open, pasture, ridge, riverbed, roadside, rock outcrop, sand, sheltered, shrubland, slope, stone, terrace, track, tree, unstable/eroded, wasteland; NZPCN: Terrestrial. Occurs in Lowland sites with low-moderate fertility (Timmins &amp; MacKenzie 1995). Colonises new, coarse-textured, nitrogen deficient surfaces (Smale 1990). Colonises stable habitats (Kay &amp; Smale 1990). Thrives on free-draining pumice soils of the central north island (Mike Harre, pers comm.) Found in scrub and forest margins, cliffs, bluffs and riverbeds (Timmins &amp; MacKenzie 1995). Colonises alluvial sites (Smale 1990).Very invasive of forest margins and revegetation areas (Porteus 1993). The plant is invasive of waste spaces, river beds and plantation forests especially following land disturbance i.e. forest harvesting (Golden Bay Gazette, 27/12/96).</t>
  </si>
  <si>
    <t>tailed seed</t>
  </si>
  <si>
    <t>seed dispersed by wind and water (Timmins &amp; Mckenzie 1995)</t>
  </si>
  <si>
    <t>B. asiatica: Wind; Diaspore is blown by wind; Assumption based upon diaspore morphology; (Ridley, 1930); Also dispersed by water. Diaspore=seed. The diaspore has wings or wing-like features.</t>
  </si>
  <si>
    <t>Buddleja madagascariensis Lam.</t>
  </si>
  <si>
    <t>Buddleja madagascariensis</t>
  </si>
  <si>
    <t>Madagascar buddleia</t>
  </si>
  <si>
    <t>fruit not seen</t>
  </si>
  <si>
    <t>Caesalpinia decapetala (Roth) Alston</t>
  </si>
  <si>
    <t>Caesalpinia decapetala</t>
  </si>
  <si>
    <t>mysore thorn</t>
  </si>
  <si>
    <t>scrambling shrub to c. 15 m tall</t>
  </si>
  <si>
    <t>NZ Flora Online: cliff, coast, flat , open, pasture, rock outcrop, shrubland</t>
  </si>
  <si>
    <t>pod</t>
  </si>
  <si>
    <t>Seeds are not dispersed far from parent plants (West 1996). Seeds lie in the open pod until disturbed by rain or wind (West 1996).</t>
  </si>
  <si>
    <t>Callistachys lanceolata Vent.</t>
  </si>
  <si>
    <t>Callistachys lanceolata</t>
  </si>
  <si>
    <t>Oxylobium lanceolatum</t>
  </si>
  <si>
    <t>oxylobium</t>
  </si>
  <si>
    <t>tall shrub or tree</t>
  </si>
  <si>
    <t>Waste places, scrubland, often in sandy coastal sites (Webb et al 1988)</t>
  </si>
  <si>
    <t>Esler 1988; Hopley &amp; Byrne 2018</t>
  </si>
  <si>
    <t>gravity dispersed seed (Hopley and Byrne 2018)</t>
  </si>
  <si>
    <t>Calluna vulgaris (L.) Hull</t>
  </si>
  <si>
    <t>Calluna vulgaris</t>
  </si>
  <si>
    <t>heather</t>
  </si>
  <si>
    <t>NZ Flora Online: alpine, bank, clay, coast, dry, forest, grassland, gravel, hill, margin, moist, montane, open, pasture, peat, ridge, roadside, rock outcrop, sand, shrubland, slope, stone, terrace, track, tussockland, wasteland; NZPCN: A plant of montane, subalpine and alpine habitats. The plant grows in sites of low - moderate fertility. Plant found in scrub and forest margin, shrubland, tall and short tussockland, herbfields, riverbeds, wetlands, alpine gravel fields, dune slacks and road edges.</t>
  </si>
  <si>
    <t>91.3% of seeds dispersed within 0.8m of plant centre, maximum distance 80m rare events</t>
  </si>
  <si>
    <t>Timmins &amp; Mackenzie 1995 (but ETNZF says unspecialised); Bullock &amp; Clarke 2000; Mouissie et al. 2005; Albert et al. 2015</t>
  </si>
  <si>
    <t>seed dispersal calculated at 100 m in winds of 10 m/s &amp; 250 m in 30-40 m/s</t>
  </si>
  <si>
    <t>wind dispersed, measured dispersal distances using seed traps around isolated plants (Bullock &amp; Clarke 2000); seeds dispersed by deer internally (sometimes) and in fur and on hooves (sometimes; Albert et al. 2015); seeds attached to experimental sheep and cattle dummies (Mouissie et al. 2005)</t>
  </si>
  <si>
    <t>Calystegia silvatica</t>
  </si>
  <si>
    <t>Convolvulus silvaticus; Convolvulus sylvestris; Calystegia sylvestris</t>
  </si>
  <si>
    <t>great bindweed</t>
  </si>
  <si>
    <t>climbing or scrambling plant</t>
  </si>
  <si>
    <t>?</t>
  </si>
  <si>
    <t>NZ Flora Online: bank, clay, dry, gap, loam, lowland, margin, open, pasture, riparian, roadside, sand, sheltered, slope, stone, terrace, track, tree, unstable/eroded, wasteland; NZPCN: Gardens, waste places, forest edges, roadsides etc</t>
  </si>
  <si>
    <t>has no structures directly aiding active seed dispersal and large seeds &gt;10 mg (Esler 1988).</t>
  </si>
  <si>
    <t>C. macrostegia: Unassisted and/or methods originating from parent plant; Method not stated; (Keeley, 1991, cited in Kew SID)</t>
  </si>
  <si>
    <t>no obvious dispersal adaptations</t>
  </si>
  <si>
    <t>Canna indica L.</t>
  </si>
  <si>
    <t>Canna indica</t>
  </si>
  <si>
    <t>Indian shot</t>
  </si>
  <si>
    <t>NZ Flora Online: clay, coast, dry, gravel, lowland, margin, open, ridge, sand, sheltered, silt, stone, terrace, track, wasteland; NZPCN: Damp spots, wetlands, low-growing habitats, disturbed shrubland, streamsides, riversystems</t>
  </si>
  <si>
    <t>Carex demissa Hornem.</t>
  </si>
  <si>
    <t>Carex demissa</t>
  </si>
  <si>
    <t>European yellow sedge</t>
  </si>
  <si>
    <t>0.3?</t>
  </si>
  <si>
    <t>NZPCN: Water body margins, swamps, damp waste places and low-lying areas</t>
  </si>
  <si>
    <t>nut</t>
  </si>
  <si>
    <t>air-filled vesicle</t>
  </si>
  <si>
    <t>Rosenthal 2006</t>
  </si>
  <si>
    <t>hydrochorous - air-filled vesicle; dysochorous, lost food (Rosenthal 2006); C. hispida: (RBG Kew, Wakehurst Place); diaspore=entire fruit. The seed has "air bag" of fused bracts. C. pedunculata: Animal; Diaspore is carried intentionally; Direct or experimental observation; (van der Pijl, 1982); Ants.; Diaspore=seed. The seed has an elaiosome. C. pilulifera: Animal; Diaspore is carried intentionally; Method not stated; (Bouman et al., 2000); Ants. C. hirta &amp; C. praecox: seeds germinated from sheep faeces (Eichberg et al. 2007)</t>
  </si>
  <si>
    <t>Carex divisa Huds.</t>
  </si>
  <si>
    <t>Carex divisa</t>
  </si>
  <si>
    <t>divided sedge</t>
  </si>
  <si>
    <t>C. hirta &amp; C. praecox: seeds germinated from sheep faeces (Eichberg et al. 2007)</t>
  </si>
  <si>
    <t>Carex divulsa Stokes</t>
  </si>
  <si>
    <t>Carex divulsa</t>
  </si>
  <si>
    <t>grey sedge</t>
  </si>
  <si>
    <t>NZPCN: Widespread from the coast to subalpine situations. Usually found as a pasture and lawn weed with a distinct preference for calcareous or other base-rich substrates. Will colonise forest especially forest margins and gaps. A serious weed in native vegetation.</t>
  </si>
  <si>
    <t>Seed dispersed by contaminated machinery or garden discards (NZPCN, factsheet prepared by Paul Champion and Deborah Hofstra (NIWA))</t>
  </si>
  <si>
    <t>Carex flacca Schreb.</t>
  </si>
  <si>
    <t>Carex flacca</t>
  </si>
  <si>
    <t>blue sedge</t>
  </si>
  <si>
    <t>Healy &amp; Edgar 1980; Albert et al. 2015</t>
  </si>
  <si>
    <r>
      <t xml:space="preserve">"Fruits lack characters assisting dispersal, most falling close to the parent plants: longer distance dispersal sometimes occurs when fruit is carried on animal coats, in mud in hooves, by run-off water on slopes, or in drains and streams" (Healy &amp; Edgar 1980). </t>
    </r>
    <r>
      <rPr>
        <i/>
        <sz val="11"/>
        <rFont val="Calibri"/>
        <family val="2"/>
        <scheme val="minor"/>
      </rPr>
      <t>Carex longebrachiata</t>
    </r>
    <r>
      <rPr>
        <sz val="11"/>
        <rFont val="Calibri"/>
        <family val="2"/>
        <scheme val="minor"/>
      </rPr>
      <t xml:space="preserve"> has no structures directly aiding active seed dispersal and medium-sized seeds (1-10 mg) (Esler 1988).</t>
    </r>
  </si>
  <si>
    <t>seeds dispersed internally by deer (sometimes; Albert et al. 2015); C. hirta &amp; C. praecox: seeds germinated from sheep faeces (Eichberg et al. 2007)</t>
  </si>
  <si>
    <t>Carex leporina L.</t>
  </si>
  <si>
    <t>Carex leporina</t>
  </si>
  <si>
    <t>Carex ovalis</t>
  </si>
  <si>
    <t>oval sedge</t>
  </si>
  <si>
    <t>NZPCN: Wide variety of wet habitats from lowland to subalpine, especially disturbed habitats, but also a problem weed in short turf wetland where it can completely displace indigenous vegetation</t>
  </si>
  <si>
    <t>Seed dispersed by contaminated machinery or waterfowl (NZPCN factsheet prepared by prepared by Paul Champion and Deborah Hofstra (NIWA)); Carex longebrachiata has no structures directly aiding active seed dispersal and medium-sized seeds (1-10 mg) (Esler 1988).</t>
  </si>
  <si>
    <t>Carex longebrachiata</t>
  </si>
  <si>
    <t>Carex longifolia</t>
  </si>
  <si>
    <t>Australian sedge</t>
  </si>
  <si>
    <t>NZ Flora Online: bank, clay, coast, dry, flat , hill, lowland, open, pasture, sand, scrubland, sheltered, shrubland, slope, stone, terrace; NZPCN: grassland</t>
  </si>
  <si>
    <t>Molloy et al. 1967</t>
  </si>
  <si>
    <t>has no structures directly aiding active seed dispersal and medium-sized seeds (1-10 mg) (Esler 1988); The seed is dispersed by gravity and livestock (NZPCN); Molloy et al. 1967: The seed of Australian sedge is relatively heavy and the utricle is not endowed with special mechanisms to assist dispersal. Most of the seed shed falls within 12 in. from the edge of the canopy. Some is carried for longer distances by strong gusts of wind or on the feet of livestock.</t>
  </si>
  <si>
    <t>Carex lurida Wahlenb.</t>
  </si>
  <si>
    <t>Carex lurida</t>
  </si>
  <si>
    <t>sallow sedge</t>
  </si>
  <si>
    <t>Lowland swamps, roadside drains</t>
  </si>
  <si>
    <t>Seed dispersed by contaminated machinery or waterfowl (NZPCN, factsheet prepared by Paul Champion and Deborah Hofstra (NIWA)); Carex longebrachiata has no structures directly aiding active seed dispersal and medium-sized seeds (1-10 mg) (Esler 1988).</t>
  </si>
  <si>
    <t>Carex pendula Huds.</t>
  </si>
  <si>
    <t>Carex pendula</t>
  </si>
  <si>
    <t>Carex scoparia Schkuhr ex Willd.</t>
  </si>
  <si>
    <t>Carex scoparia</t>
  </si>
  <si>
    <t>NZPCN: Swamps and lake margins</t>
  </si>
  <si>
    <t>Seed dispersed by contaminated machinery or waterfowl (NZPCN factsheet prepared by prepared by Paul Champion and Deborah Hofstra (NIWA))</t>
  </si>
  <si>
    <t>Carpobrotus chilensis</t>
  </si>
  <si>
    <t>Carpobrotus aequilaterus</t>
  </si>
  <si>
    <t>ice plant</t>
  </si>
  <si>
    <t>Mat-forming trailing perennial herb</t>
  </si>
  <si>
    <t>NZ Flora Online: bank, cliff, coast, dry, pasture, roadside, rock outcrop, sand, slope, stone, track</t>
  </si>
  <si>
    <t>indehiscent, fleshy, mucilaginous</t>
  </si>
  <si>
    <t>Vila &amp; D'Antonio 1998, cited in Kew SID</t>
  </si>
  <si>
    <t>Seeds dispersed by black-tailed jackrabbit and mule deer (Vila &amp; D'Antonio 1998, cited in Kew SID)</t>
  </si>
  <si>
    <t>Carpobrotus edulis</t>
  </si>
  <si>
    <t>NZ Flora Online: coast, roadside, sand</t>
  </si>
  <si>
    <t>D'Antonio 1990</t>
  </si>
  <si>
    <t>California, USA: dispersed by mammals including  jackrabbit, brush rabbit, mule deer, &amp; California ground squirrel, which ground up more than half of seeds ingested. Seeds found in unidentified rodent droppings damaged &amp; not viable (D'Antonio 1990).</t>
  </si>
  <si>
    <t>Casuarina glauca Sieber</t>
  </si>
  <si>
    <t>Casuarina glauca</t>
  </si>
  <si>
    <t>swamp oak</t>
  </si>
  <si>
    <t>Casuarina equisetifolia: wind likely seed dispersaL vector (Shiels 2011)</t>
  </si>
  <si>
    <t>seed dispersal based on morphology</t>
  </si>
  <si>
    <t>Celastrus orbiculatus</t>
  </si>
  <si>
    <t>climbing spindle berry</t>
  </si>
  <si>
    <t>Dehiscent capsule with seeds enclosed entirely in fleshy aril; Seed number is for each of the 3 locules within the capsule. climber up to 12 m high.</t>
  </si>
  <si>
    <t>NZ Flora Online: bank, clay, dry, forest, gap, gravel, hill, loam, lowland, margin, open, ridge, riparian, roadside, rock outcrop, sand, shaded, sheltered, shrubland, slope, stone, terrace, wasteland. NZPCN: climbs on rocks and trees and sometimes covers the ground and vegetation (Hutchison 2000)</t>
  </si>
  <si>
    <t>aril</t>
  </si>
  <si>
    <t>Williams &amp; Timmins 2003</t>
  </si>
  <si>
    <t>seed is spread by birds (NZPCN)</t>
  </si>
  <si>
    <t xml:space="preserve">seeds dispersed by birds in North America. </t>
  </si>
  <si>
    <t>Cenchrus alopecuroides</t>
  </si>
  <si>
    <t>Cenchrus purpurascens?</t>
  </si>
  <si>
    <t>Chinese fountain grass</t>
  </si>
  <si>
    <t>not in Flora or NZ Flora Online, but possible synonym included</t>
  </si>
  <si>
    <t>barbed bristles</t>
  </si>
  <si>
    <t>&gt;600km</t>
  </si>
  <si>
    <t>McIntyre et al. 1995; Toon et al. 2008</t>
  </si>
  <si>
    <t>Pennisetum alopecuroides dispersed by attachment and wind, based on morphology (McIntyre et al. 1995); C. purpurescens (synonym?): small barbs along the bristles of the floret (Figure 3) that might aid in the attachment of the propagule to animal vectors;  occasional long-distance gene flow via seeds, possibly attached to migratory shore birds (Toon et al. 2018); C. biflorus, C. ciliarus. C. prieurii, C. setigerus: Animal; Diaspore is carried accidentally; Method not stated; (Sen, 1982, cited in Kew SID); Mammals (non-bat)+birds.; Diaspore=caryopsis. The diaspore has spiny, spiky, hooked or barbed projections or awns. C. setigerus: Seeds may also be dispersed by ants once they reach the soil surface. This would represent a two-stage process (animal, ant) (Sen, 1982, cited in Kew SID). C. ciliarus: Wind; Assumption based upon diaspore morphology; (Jurado et al., 1991)</t>
  </si>
  <si>
    <t>Cenchrus clandestinus (Hochst. ex Chiov.) Morrone</t>
  </si>
  <si>
    <t>Cenchrus clandestinus</t>
  </si>
  <si>
    <t>Pennisetum clandestinum</t>
  </si>
  <si>
    <t>seeds are rarely formed; leaves up to 25cm long.</t>
  </si>
  <si>
    <t>0.25?</t>
  </si>
  <si>
    <t>Cenchrus longisetus M.C.Johnst.</t>
  </si>
  <si>
    <t>Cenchrus longisetus</t>
  </si>
  <si>
    <t>Pennisetum villosum</t>
  </si>
  <si>
    <t>feathertop</t>
  </si>
  <si>
    <t>seeds are shed with the feathery bristles still surrounding them</t>
  </si>
  <si>
    <t>feathery bristles</t>
  </si>
  <si>
    <t>African feather grass</t>
  </si>
  <si>
    <t>leaf blade up to 0.6m; seeds are shed still surrounded in the finely-barbed feathery bristles.</t>
  </si>
  <si>
    <t>0.6?</t>
  </si>
  <si>
    <t>NZPCN: A plant that likes damp situations such as swamps and the borders of streams, but can also tolerate drought and establish on dry shady banks. A plant that prefers light sandy soil. In New Zealand this plant has shown no preference for soil types or locality. A plant that grows in pastures, roadsides, urban areas, wasteland and roadsides, swamps and streambanks. The plant has been found growing in grazing land, cemeteries and private sections and amenity areas.</t>
  </si>
  <si>
    <t>rough bristles</t>
  </si>
  <si>
    <r>
      <t>Pennisetum alopecuroides</t>
    </r>
    <r>
      <rPr>
        <sz val="11"/>
        <rFont val="Calibri"/>
        <family val="2"/>
        <scheme val="minor"/>
      </rPr>
      <t xml:space="preserve"> dispersed by attachment and wind, based on morphology (McIntyre et al. 1995). P. macrostachyum dispersed by wind, based on morphology - hairy diaspore (Ridley 1930, cited in KEW SID).</t>
    </r>
  </si>
  <si>
    <t>Cenchrus purpureus (Schumach.) Morrone</t>
  </si>
  <si>
    <t>Cenchrus purpureus</t>
  </si>
  <si>
    <t>Pennisetum purpureum in Flora</t>
  </si>
  <si>
    <t>elephant grass</t>
  </si>
  <si>
    <t>caryopsis not seen</t>
  </si>
  <si>
    <t>Cenchrus setaceus (Forssk.) Morrone</t>
  </si>
  <si>
    <t>Cenchrus setaceus</t>
  </si>
  <si>
    <t>Pennisetum setaceum</t>
  </si>
  <si>
    <t>seeds are shed with the feathery bristles still surrounding them; no data in Kew SID</t>
  </si>
  <si>
    <t>feathery bristles, plume of hairs on propagule</t>
  </si>
  <si>
    <t>NZPCN; Toon et al. 2018</t>
  </si>
  <si>
    <t>Spikelets with bristles disperse in late spring with wind, water, human activities, and by clinging to animals (NZPCN)</t>
  </si>
  <si>
    <t>plume of hairs extending from base of propagule, which probably facilitate dispersal by wind (Toon et al. 2018)</t>
  </si>
  <si>
    <t>Centranthus ruber</t>
  </si>
  <si>
    <t>red valerian</t>
  </si>
  <si>
    <t>seed mass from Kew SID, 9 June 2022</t>
  </si>
  <si>
    <t>plumed seed</t>
  </si>
  <si>
    <t>Wind dispersed - Assumption based upon diaspore morphology</t>
  </si>
  <si>
    <t>Ceratophyllum demersum L.</t>
  </si>
  <si>
    <t>Ceratophyllum demersum</t>
  </si>
  <si>
    <t>hornwort</t>
  </si>
  <si>
    <t>possible reproduction by seeds, but unverified in Auckland (Esler 1988). No evidence that seed is set in NZ (NZPCN).</t>
  </si>
  <si>
    <t>NZPCN Factsheet prepared by Paul Champion and Deborah Hofstra (NIWA)</t>
  </si>
  <si>
    <t>seeds dispersed by water bird ectozoochory (Reynolds &amp; Cumming 2016)</t>
  </si>
  <si>
    <t>Cestrum aurantiacum Lindl.</t>
  </si>
  <si>
    <t>Cestrum aurantiacum</t>
  </si>
  <si>
    <t>orange cestrum</t>
  </si>
  <si>
    <t>fruits uncommon</t>
  </si>
  <si>
    <t>Albuquerque et al. 2006</t>
  </si>
  <si>
    <t>Cestrum elegans (Brongn. ex Neumann) Schltdl.</t>
  </si>
  <si>
    <t>Cestrum elegans</t>
  </si>
  <si>
    <t>red cestrum</t>
  </si>
  <si>
    <t>categorised as bird-dispersed, based on fruit size (8-13 mm diam.), colour (red) and shape (Albuquerque et al. 2006)</t>
  </si>
  <si>
    <t>Cestrum fasciculatum</t>
  </si>
  <si>
    <t>shrub 2-4 m high, fruit uncommon</t>
  </si>
  <si>
    <t>Flora: scrub and secondary forest on hillsides</t>
  </si>
  <si>
    <t>Cestrum nocturnum L.</t>
  </si>
  <si>
    <t>Cestrum nocturnum</t>
  </si>
  <si>
    <t>queen of the night</t>
  </si>
  <si>
    <t>Shrub, generally 1.5–2.5 m high</t>
  </si>
  <si>
    <t>NZ Flora Online: coast, gully, margin, sheltered, slope, Flora: waste places, sheltered gullies, scrub</t>
  </si>
  <si>
    <r>
      <t>C. elegans</t>
    </r>
    <r>
      <rPr>
        <sz val="11"/>
        <rFont val="Calibri"/>
        <family val="2"/>
        <scheme val="minor"/>
      </rPr>
      <t xml:space="preserve"> categorised as bird-dispersed, based on fruit size (8-13 mm diam.), colour (red) and shape (Albuquerque et al. 2006)</t>
    </r>
  </si>
  <si>
    <t>dispersal based on morphology</t>
  </si>
  <si>
    <t>Chlorophytum comosum (Thunb.) Jacques</t>
  </si>
  <si>
    <t>Chlorophytum comosum</t>
  </si>
  <si>
    <t>Anthericum comosum</t>
  </si>
  <si>
    <t>spider plant</t>
  </si>
  <si>
    <t>not in Flora; seed mass from Kew SID, 9 June 2022</t>
  </si>
  <si>
    <t>Ogle &amp; La Cock 2019</t>
  </si>
  <si>
    <t>Appears to be spread by vegetative growth (tuberous roots) only (Ogle &amp; La Cock 2019)</t>
  </si>
  <si>
    <t>Chrysojasminum humile (L.) Banfi</t>
  </si>
  <si>
    <t>Chrysojasminum humile</t>
  </si>
  <si>
    <t>Jasminum humile</t>
  </si>
  <si>
    <t>Italian jasmine</t>
  </si>
  <si>
    <t>shrub to  c. 2.5 m high</t>
  </si>
  <si>
    <t>NZ Flora Online:  cliff, forest, hill, margin, open, ridge, roadside, rock outcrop, stone, wasteland</t>
  </si>
  <si>
    <r>
      <t>Jasminum</t>
    </r>
    <r>
      <rPr>
        <sz val="10"/>
        <rFont val="Arial"/>
        <family val="2"/>
      </rPr>
      <t xml:space="preserve"> spp. verified as vertebrate-dispersed (Meisenburg &amp; Fox 2002)</t>
    </r>
  </si>
  <si>
    <t>Cirsium arvense (L.) Scop.</t>
  </si>
  <si>
    <t>Cirsium arvense</t>
  </si>
  <si>
    <t>californian thistle</t>
  </si>
  <si>
    <t>NZ Flora Online: alpine, bank, coast, dry, flat , forest, grassland, gravel, hill, loam, log, lowland, margin, moist, montane, open, pasture, roadside, sand, scree, shrubland, silt, slope, stone, terrace, track, tussockland, unstable/eroded, wasteland</t>
  </si>
  <si>
    <t>pappus; elaiosome</t>
  </si>
  <si>
    <t>Pemberton &amp; Irving 1990; Soomers et al. 2013; Albert et al. 2015</t>
  </si>
  <si>
    <t>Wind dispersed, moderate floating potential (Soomers et al. 2013); Wind; Diaspore is blown by wind; Method not stated; (Rutledge &amp; McLendon, sine anno); Humans.; Also dispersed by animals. Diaspore=seed. The seed has a pappus. Dispersed by humans as a contaminant of crop seed, manure, straw, and in irrigation water (cited in Kew SID). seeds dispersed internally (sometimes) by deer (Albert et al. 2015). Seed has an elaiosome (Pemberton &amp; Irving 1990).</t>
  </si>
  <si>
    <t>Cirsium vulgare (Savi) Ten.</t>
  </si>
  <si>
    <t>Cirsium vulgare</t>
  </si>
  <si>
    <t>Scotch thistle</t>
  </si>
  <si>
    <t>NZ Flora Online:  alpine, bank, clay, coast, dry, flat , grassland, gravel, gully, hill, log, moist, montane, open, pasture, riparian, roadside, rock outcrop, sand, sheltered, shrubland, silt, slope, stone, terrace, track, tussockland, wasteland; NZPCN: Wasteland, roadsides, pastures, gardens, cultivated land, disturbed forest (Webb et al., 1988). Track edges, slips, barer ridges, under light gaps in the forest (West, 1996).</t>
  </si>
  <si>
    <t>Matlack 1987; Pemberton &amp; Irving 1990; McIntyre et al. 1995; Burrows 1995; West 1996; Couvreur et al. 2004</t>
  </si>
  <si>
    <t>wind dispresed (Burrows 1995)</t>
  </si>
  <si>
    <t>wind dispersed (Matlack 1987; McIntyre et al. 1995); seeds dispersed attached to cattle fur (Couvreur et al. 2004); seed has an elaiosome (Pemberton &amp; Irving 1990).</t>
  </si>
  <si>
    <t>Clematis flammula L.</t>
  </si>
  <si>
    <t>Clematis flammula</t>
  </si>
  <si>
    <t>fragrant virgin's bower</t>
  </si>
  <si>
    <t>climber; not in NZ Flora Online</t>
  </si>
  <si>
    <t>achenes hairy; style elongated &amp; feathery at fruiting</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</si>
  <si>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flammula</t>
    </r>
    <r>
      <rPr>
        <sz val="11"/>
        <rFont val="Calibri"/>
        <family val="2"/>
        <scheme val="minor"/>
      </rPr>
      <t xml:space="preserve"> wind dispersed (Esler 1988).</t>
    </r>
  </si>
  <si>
    <t>Clematis terniflora DC.</t>
  </si>
  <si>
    <t>Clematis terniflora</t>
  </si>
  <si>
    <t>Clematis maximowicziana</t>
  </si>
  <si>
    <t>climber</t>
  </si>
  <si>
    <t>NZPCN: Bush margins, shrubland</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</si>
  <si>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t>
    </r>
  </si>
  <si>
    <t>Clematis vitalba L.</t>
  </si>
  <si>
    <t>Clematis vitalba</t>
  </si>
  <si>
    <t>old man's beard</t>
  </si>
  <si>
    <t>NZ Flora Online: bank, clay, coast, dry, forest, forest edge, grassland, gravel, hill, log, lowland, margin, open, pasture, ridge, riparian, river terrace, roadside, rock outcrop, scrubland, shaded, shrubland, slope, terrace, wasteland; NZPCN: A plant of coastal and lowland areas. Plant grows in moderate to high fertile sites with medium to good drainage. The plant is light demanding. Plant grows in tall forest, low forest, scrub and shrubland. Occurs in reserves and forests with well-lit forest margins and wide tracks, waterways or clearings, riparian vegetation, exotic or native. The plant occurs in forest remnants.</t>
  </si>
  <si>
    <t>Williams &amp; Buxton 1995; Esler 1988</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</si>
  <si>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vitalba</t>
    </r>
    <r>
      <rPr>
        <sz val="11"/>
        <rFont val="Calibri"/>
        <family val="2"/>
        <scheme val="minor"/>
      </rPr>
      <t xml:space="preserve"> wind dispersed (Esler 1988).</t>
    </r>
  </si>
  <si>
    <t>Cobaea scandens Cav.</t>
  </si>
  <si>
    <t>Cobaea scandens</t>
  </si>
  <si>
    <t>cathedral bells</t>
  </si>
  <si>
    <t>liane</t>
  </si>
  <si>
    <t>NZ Flora Online: bank, clay, cliff, coast, dry, forest edge, gap, gravel, lowland, margin, open, riparian, roadside, rock outcrop, sand, sheltered, shrubland, silt, slope, stone, terrace, wasteland; NZPCN: Potential to become a major weed in tall and undisturbed forests, natural open areas, scrub, forest remnants, hedgerows, roadsides, riverbanks, gardens, shelterbelts and undisturbed native forests (ARC, PestFacts).</t>
  </si>
  <si>
    <t>Cornus capitata Wall.</t>
  </si>
  <si>
    <t>Cornus capitata</t>
  </si>
  <si>
    <t>Dendrobenthamia capitata</t>
  </si>
  <si>
    <t>strawberry dogwood</t>
  </si>
  <si>
    <t>2-seeded drupes united into fleshy syncarp. Small, evergreen tree up to 6–(12) m high</t>
  </si>
  <si>
    <t>NZ Flora Online: margin, roadside</t>
  </si>
  <si>
    <t>drupe</t>
  </si>
  <si>
    <t>Webb et al. 1988; Spurr et al. 2011</t>
  </si>
  <si>
    <t>has probably become naturalised by spread of bird-dispersed fruits from garden plants (Webb et al. 1988); fruit eaten by bellbirds (Spurr et al. 2011)</t>
  </si>
  <si>
    <t>Cortaderia jubata</t>
  </si>
  <si>
    <t>purple pampas grass</t>
  </si>
  <si>
    <t>culm to 3.5m; seed heads up to 90cm long</t>
  </si>
  <si>
    <t>NZ Flora Online:  coast, dry, lowland, open, pasture, roadside, rock outcrop, sand, slope, wasteland; NZPCN: Forest light gaps, slips, margins, disturbed sites, open habitats, riverbeds, cliffs, inshore and offshore islands, tussockland, fernland, herbfield, duneland, coastline, gumlands, salt marsh, estuaries, shrublands.</t>
  </si>
  <si>
    <t>lemma awns with long downy hairs</t>
  </si>
  <si>
    <t>Timmins &amp; Mackenzie 1995; Esler 1988</t>
  </si>
  <si>
    <t>Wind dispersed (Esler 1988).</t>
  </si>
  <si>
    <t>Cortaderia selloana</t>
  </si>
  <si>
    <t>pampas grass</t>
  </si>
  <si>
    <t>culm to 6m; inflorescence to 1m</t>
  </si>
  <si>
    <t>NZ Flora Online: bank, coast, gully, hill, moist, open, pasture, roadside, rock outcrop, sand, sheltered, shrubland, slope; NZPCN: A coastal and lowland plant found between sea level and 800 metres. Plant grows in sites of all levels of fertility from low to high. The plant grows in a wide variety of soils from pumice and coastal sands to heavy clay (Ford 1993). Coloniser of open ground (West, 1996). A plant that occurs in low or disturbed forest (including plantations), wetlands, grasslands, scrub, cliffs, coastlines, islands, forest margins, riverbanks, shrubland, open areas, roadsides and sand dunes. The plant’s primary habitat is disturbed ground.</t>
  </si>
  <si>
    <t>Timmins &amp; Mackenzie 1995; Fromont &amp; King 1992; Esler 1988</t>
  </si>
  <si>
    <t>Cotoneaster coriaceus Franch.</t>
  </si>
  <si>
    <t>Cotoneaster coriaceus</t>
  </si>
  <si>
    <t>Cotoneaster lacteus</t>
  </si>
  <si>
    <t>milk-flower cotoneaster</t>
  </si>
  <si>
    <t>erect shrub to small tree 2-5 (-6)m tall</t>
  </si>
  <si>
    <t>NZPCN: Dry shrubland, forest margins, wasteland in urban places</t>
  </si>
  <si>
    <t>pome-like</t>
  </si>
  <si>
    <t>Seed is widely distributed by birds (NZPCN)</t>
  </si>
  <si>
    <t>Cotoneaster franchetii</t>
  </si>
  <si>
    <t>cotoneaster</t>
  </si>
  <si>
    <t>Erect shrub 1–2 m tall</t>
  </si>
  <si>
    <t>NZ Flora Online: bank, clay, cliff, coast, dry, forest, forest edge, gap, gravel, gully, hill, lowland, margin, moist, open, pasture, riparian, roadside, rock outcrop, sand, shaded, sheltered, shrubland, silt, slope, stone, terrace, unstable/eroded, wasteland. NZPCN: dry forest and shrubland up to 300 m, forest margins, dry rangeland, bluffs, rocky sites, slips, riverbeds</t>
  </si>
  <si>
    <t>Williams &amp; Karl 1996</t>
  </si>
  <si>
    <t>Cotoneaster glaucophyllus Franch.</t>
  </si>
  <si>
    <t>Cotoneaster glaucophyllus</t>
  </si>
  <si>
    <t>shrub 1.3–4 m tall</t>
  </si>
  <si>
    <t>NZ Flora Online: bank, clay, cliff, coast, dry, forest, gorge, gravel, hill, lava, lowland, margin, moist, open, pasture, riparian, roadside, rock outcrop, sand, scrubland, shaded, sheltered, shrubland, silt, slope, stone, terrace, track, unstable/eroded. NZPCN: Gardens, bushland, wasteland areas and along railway lines. (Ermert and Clapp 1998) Wasteland, scrub in gullies, a garden weed (Webb et al., 1988). Stream banks, riverbeds, coastal and inshore islands, dry shrublands, rocklands, forest steeplands, coastal forest, forest margins and slips, roadside, quarries, wasteland, exotic plantations (Fromont and King, 1992).</t>
  </si>
  <si>
    <t>Fromont &amp; King 1992; Esler 1988</t>
  </si>
  <si>
    <t>Dispersed by birds (Fromont &amp; King 1992)</t>
  </si>
  <si>
    <t>Cotoneaster simonsii</t>
  </si>
  <si>
    <t>khasia berry</t>
  </si>
  <si>
    <t>shrub, 1.5–3.5 m tall</t>
  </si>
  <si>
    <t>NZ Flora Online:  bank, clay, cliff, coast, dry, flat , forest edge, gorge, grassland, hill, margin, open, pasture, riparian, roadside, rock outcrop, sand, scrubland, shaded, sheltered, shrubland, silt, slope, stone, terrace, wasteland. NZPCN: Dry cool forest and shrubland up to 900 m., forest margins, dry rangeland, bluffs, rocky sites, slips, riverbeds.</t>
  </si>
  <si>
    <t>Burrows 1995</t>
  </si>
  <si>
    <t>bird-dispersed (Burrows 1995)</t>
  </si>
  <si>
    <t>dispersal based on fruit morphology</t>
  </si>
  <si>
    <t>Cotyledon orbiculata L.</t>
  </si>
  <si>
    <t>Cotyledon orbiculata</t>
  </si>
  <si>
    <t>pig's ear</t>
  </si>
  <si>
    <t>subshrub; flowering stems to c. 50cm high</t>
  </si>
  <si>
    <t>NZ Flora Online: bank, cliff, coast, dry, grassland, hill, open, pasture, roadside, rock outcrop, sand, scree, shrubland, slope, wasteland; NZPCN: dry coastal bluffs. Coastal slopes and beaches, often on steep banks, rocky outcrops, cliff faces and bare ledges, sometimes in low scrub and dry depleted grassland (Webb et al 1988).</t>
  </si>
  <si>
    <t>dust seeds</t>
  </si>
  <si>
    <t>Wind; Diaspore is blown by wind; Method not stated; (van Rheede van Oudtshoorn &amp; van Rooyen, 1999, cited in Kew SID); Diaspore=seed. The seed is small or very small (dust seeds).</t>
  </si>
  <si>
    <t>Crassula multicava Lem.</t>
  </si>
  <si>
    <t>Crassula multicava</t>
  </si>
  <si>
    <t>fiary crassula</t>
  </si>
  <si>
    <t>fruits and seeds not seen</t>
  </si>
  <si>
    <t>Crataegus monogyna Jacq.</t>
  </si>
  <si>
    <t>Crataegus monogyna</t>
  </si>
  <si>
    <t xml:space="preserve"> </t>
  </si>
  <si>
    <t>hawthorn</t>
  </si>
  <si>
    <t>Snow &amp; Snow (1988) say fruit is a drupe; Shrub or small tree, up to 10 m when mature</t>
  </si>
  <si>
    <t>NZ Flora Online:  bank, clay, coast, dry, gravel, gully, hill, margin, open, pasture, riparian, roadside, rock outcrop, sand, sheltered, shrubland, silt, slope, stone, terrace, track. NZPCH: lowland and montane habitats. Plant occurs in sites with low to low/moderate fertility. A plant that grows in low forest, forest margins, scrub, hill country pasture, pasture, disturbed forest, waste places and roadsides.</t>
  </si>
  <si>
    <t>Timmins &amp; Mackenzie 1995; Williams &amp; Karl 1996; Esler 1988; Albert et al. 2015</t>
  </si>
  <si>
    <t>Dozens of blackbirds feeding on berries on hawthorn hedges (Summarised Classified Notes, Notornis 4(3), 1951)</t>
  </si>
  <si>
    <t>bird &amp; mammal dispersed (possums in Australia) (Cronk &amp; Fuller 1995). Spain: intact seeds in carnivorous mammal faeces (Herrera 1989). England: blackbirds primary dispersers, also eaten by song thrush &amp; starling (Snow &amp; Snow 1988). Seeds dispersed on deer hooves (sometimes; Albert et al. 2015).</t>
  </si>
  <si>
    <t>montbretia</t>
  </si>
  <si>
    <t>NZPCN website (accessed 11 April 2023): produces no seed (Fromont &amp; King 1992); BUT NZ Flora online (accessed 11 April 2023) says disperses by seed. Weedbusters https://www.weedbusters.org.nz/what-are-weeds/weed-list/montbretia/ accessed 19 April 2023: "produces few seeds…"</t>
  </si>
  <si>
    <t>DMW</t>
  </si>
  <si>
    <t>Cupressus macrocarpa Hartw. ex Gordon</t>
  </si>
  <si>
    <t>Cupressus macrocarpa</t>
  </si>
  <si>
    <t>macrocarpa</t>
  </si>
  <si>
    <t>NZPCN: regenerating bush and scrub near planted trees and hedgerows</t>
  </si>
  <si>
    <t>Ogle 2023</t>
  </si>
  <si>
    <t>seed dispersal by people, wind, gravity (Ogle, C. (2023): Hesperocyparis macrocarpa Fact Sheet (content continuously updated). New Zealand Plant Conservation Network. https://www.nzpcn.org.nz/flora/species/hesperocyparis-macrocarpa/ (6 June 2023)</t>
  </si>
  <si>
    <t>Cuscuta campestris Yunck.</t>
  </si>
  <si>
    <t>Cuscuta campestris</t>
  </si>
  <si>
    <t>golden dodder</t>
  </si>
  <si>
    <t xml:space="preserve">habitat information from DOC website </t>
  </si>
  <si>
    <t>wetlands</t>
  </si>
  <si>
    <t>golden dodder can spread via plant fragments or seeds carried by water, vehicles, equipment, clothing or animals, or by seeds ingested and dispersed by birds (DOC website factsheet).</t>
  </si>
  <si>
    <t>Cynodon dactylon (L.) Pers.</t>
  </si>
  <si>
    <t>Cynodon dactylon</t>
  </si>
  <si>
    <t>Indian doab</t>
  </si>
  <si>
    <t>mat-forming; inflorescence up to 50cm long, erect</t>
  </si>
  <si>
    <t>NZ Flora Online:  bank, cliff, coast, dry, gravel, lake margin, lava, margin, moist, open, pasture, roadside, rock outcrop, sand, sheltered, wasteland</t>
  </si>
  <si>
    <t>Esler 1988;  McIntyre et al. 1995; Eichberg et al. 2007; Albert et al. 2015; Kew SID</t>
  </si>
  <si>
    <t>no structures directly aiding active seed dispersal. Small seeds (0.1-1.0 mg) (Esler 1988)</t>
  </si>
  <si>
    <t>Cyperus eragrostis Lam.</t>
  </si>
  <si>
    <t>Cyperus eragrostis</t>
  </si>
  <si>
    <t>umbrella sedge</t>
  </si>
  <si>
    <t>stems 25-90cm high</t>
  </si>
  <si>
    <t>sedge</t>
  </si>
  <si>
    <t>NZ Flora Online:  bank, coast, forest edge, grassland, gravel, lake margin, lava, lowland, margin, moist, open, pasture, riparian, roadside, sand, shaded, sheltered, silt, stone, terrace, track, wasteland, wetland; NZPCN: Wet areas such as the banks of rivers and streams, swamps, ditches.</t>
  </si>
  <si>
    <t>McIntyre et al. 1995; Reynolds &amp; Cumming 2016</t>
  </si>
  <si>
    <t>Seed dispersed by contaminated machinery (NZPCN factsheet prepared by Paul Champion and Deborah Hofstra (NIWA)).</t>
  </si>
  <si>
    <t>Seeds found in water bird droppings (Reynolds &amp; Cumming 2016); C. mutisii: Unassisted; Seeds drop to the ground close to or beneath the parent plant; Direct or experimental observation; (Vazquez &amp; Givnish, 1998, cited in Kew SID); C. iria: viable seeds found in waterfowl (incl. mallard) faeces (Reynolds et al. 2015); undefined seed dispersal morphology (McIntyre et al. 1995)</t>
  </si>
  <si>
    <t>habitat includes banks of rivers and streams</t>
  </si>
  <si>
    <t>Cyperus rotundus L.</t>
  </si>
  <si>
    <t>Cyperus rotundus</t>
  </si>
  <si>
    <t>purple nut sedge</t>
  </si>
  <si>
    <t>stems 10-35cm high; nut rarely maturing</t>
  </si>
  <si>
    <t>Cytisus multiflorus</t>
  </si>
  <si>
    <t>white broom</t>
  </si>
  <si>
    <t>explosively dehiscent pod (Webb et al. 1988)</t>
  </si>
  <si>
    <t>explosively dehiscent pod</t>
  </si>
  <si>
    <t>Webb et al. 1988</t>
  </si>
  <si>
    <t>tagasaste, tree lucerne</t>
  </si>
  <si>
    <t>shrub or small tree up to 5m high</t>
  </si>
  <si>
    <t>NZ Flora Online: bank, clay, cliff, coast, dry, gravel, gully, hill, lowland, margin, open, pasture, riverbed, roadside, rock outcrop, sand, sheltered, shrubland, terrace, track, wasteland; NZPCN: Dry places, river beds, coastal sites, hillsides</t>
  </si>
  <si>
    <t>explosively dehiscent pod, elaiosome</t>
  </si>
  <si>
    <t>Webb et al. 1988; Pemberton &amp; Irving 1990; NZPCN</t>
  </si>
  <si>
    <t>explosively dehiscent pod (Webb et al. 1988); Dispersed by water and moving gravel (NZPCN)</t>
  </si>
  <si>
    <t>Seed has an elaiosome (Pemberton &amp; Irving 1990)</t>
  </si>
  <si>
    <t>Cytisus scoparius (L.) Link</t>
  </si>
  <si>
    <t>Cytisus scoparius</t>
  </si>
  <si>
    <t>Scotch broom</t>
  </si>
  <si>
    <t>NZ Flora Online:  bank, coast, dry, flat , forest, forest edge, grassland, gravel, hill, lowland, margin, open, pasture, ridge, riverbed, roadside, sand, shrubland, silt, slope, stone, terrace, track, tree, wasteland; NZPCN: A plant of lowland and montane habitats. Plant occurs in sites with low-moderate-high fertility. The plant normally grows in areas of high rainfall, on acid soils but never on chalks. Plant grows in shrubland, tall tussockland, short tussockland, cliff, bluff and riverbed communities (Timmins &amp; MacKenzie 1995). The plant grows in disturbed lowland and montane habits such as pasture, waste ground, riverbeds and poorly grazed areas.</t>
  </si>
  <si>
    <t>Webb et al. 1988; Pemberton &amp; Irving 1990; Albert et al. 2015; Cronk &amp; Fuller 1995; Kew SID</t>
  </si>
  <si>
    <t>explosively dehiscent pod (Webb et al. 1988); no structures directly aiding active seed dispersal and large seeds &gt;10 mg (Esler 1988)</t>
  </si>
  <si>
    <t>explosive dehiscence scatters seed, also dispersed by livestock &amp; water (Cronk &amp; Fuller 1995); seeds dispersed internally by deer (sometimes; Albert et al. 2015); ant-dispersed (Kew SID); seed has an elaiosome (Pemberton &amp; Irving 1990)</t>
  </si>
  <si>
    <t>Dactylis glomerata L.</t>
  </si>
  <si>
    <t>Dactylis glomerata</t>
  </si>
  <si>
    <t>cocksfoot</t>
  </si>
  <si>
    <t>no dispersal aids (Kew SID)</t>
  </si>
  <si>
    <t>NZ Flora Online: alpine, bank, clay, cliff, coast, dry, grassland, gravel, hill, margin, montane, open, pasture, ridge, roadside, rock outcrop, sand, sheltered, shrubland, silt, slope, stone, terrace, track, tussockland, wasteland; NZPCN: A plant of coastal, lowland, montane and subalpine habitats (Timmins &amp; MacKenzie 1995). Plant grows in scrub and forest margin, shrubland, tussockland, herbfields, fernland, sand dune hollows and riverbeds (Timmins &amp; MacKenzie 1995).</t>
  </si>
  <si>
    <t>Esler 1988; Timmins &amp; Mackenzie 1995; McIntyre et al. 1995; Couvreur et al. 2004; Bartuszevige &amp; Endress 2008; Albert et al. 2015</t>
  </si>
  <si>
    <t>no structures directly aiding active seed dispersal. Small seeds (0.1-1.0 mg) (Esler 1988); seed dispersal by wind, water, humans, vertebrates (Timmins &amp; Mackenzie 1995).</t>
  </si>
  <si>
    <t>seeds dispersed by deer internally (sometimes) and attached to fur and hooves (sometimes; Albert et al. 2015). Seeds dispersed attached to cattle and donkey fur, unspecialised dispersal (Couvreur et al. 2004). Viable seed dispersed in cattle faeces (Bartuszevige &amp; Endress 2008); undefined seed dispersal morphology (McIntyre et al. 1995)</t>
  </si>
  <si>
    <t>Datura stramonium L.</t>
  </si>
  <si>
    <t>Datura stramonium</t>
  </si>
  <si>
    <t>thornapple</t>
  </si>
  <si>
    <t>dehiscent capsule</t>
  </si>
  <si>
    <t>buoyant capsule and seed</t>
  </si>
  <si>
    <t>Weaver &amp; Warwick 1984</t>
  </si>
  <si>
    <t>The capsules and seeds are buoyant in water and can remain floating for 10 days or more, facilitating dispersal. Mature seeds are dispersed from the
dry capsules, by dehiscence, up to a distance of 1-3 m from the parent plant (Weaver &amp; Warwick 1984); 1. Animal; Diaspore is eaten intentionally; Direct or experimental observation; (Vazquez &amp; Givnish, 1998, cited in Kew SID - but paper actually appears to use seed morphology to infer dispersal mechanism); Vertebrates (unspecified).; Diaspore=fruit. Fruits are fleshy. 2. Wind; Diaspore is propelled by action of wind on the plant structure; Direct or experimental observation; (Ridley, 1930, cited in Kew SID); Diaspore=seed. D. alba: Wind; Diaspore is propelled by action of wind on the plant structure; Method not stated; (Sen, 1982, cited in Kew SID); Diaspore=seed. Seeds dispersed gradually through broken capsule wall when shaken by wind.</t>
  </si>
  <si>
    <t>Delairea odorata Lem.</t>
  </si>
  <si>
    <t>Delairea odorata</t>
  </si>
  <si>
    <t>Senecio mikanioides; Delairea mikanoides?</t>
  </si>
  <si>
    <t>German ivy</t>
  </si>
  <si>
    <t>Seeds do not appear to be viable (Esler 1988); BUT NZPCN website (accessed 11 April 2023): "...will still germinate in the shade of the forest canopy near to its margin". Seed weight from D. mikanoides, synonym?</t>
  </si>
  <si>
    <t>NZ Flora Online: bank, coast, forest, forest edge, gully, hill, lake margin, margin, moist, pasture, riparian, roadside, sand, shaded, sheltered, shrubland, slope, wasteland; NZPCN: A coastal and lowland plant. Plants grow well in open environments but will still germinate in the shade of the forest canopy near to its margin. The plant occurs in scrub and forest margin communities. A plant of coastal communities and lowland forest margins, shrublands, rocklands, roadsides, quarries, farm hedges, wasteland and house gardens. Areas at risk from the plant are forest margins, coastal communities, swamps and damp areas. A plant of waste places, scrubland and forest margins, especially in coastal areas.</t>
  </si>
  <si>
    <t>Produces clusters of small yellow flowers in spring-early summer, which culminate into thousands of small wind-blown seeds (Fromont &amp; King 1992); Seed is wind-dispersed (NZPCN website, accessed 11 April 2023).</t>
  </si>
  <si>
    <t>Digitalis purpurea L.</t>
  </si>
  <si>
    <t>Digitalis purpurea</t>
  </si>
  <si>
    <t>foxglove</t>
  </si>
  <si>
    <t>Couvreur et al. 2004; Albert et al. 2015</t>
  </si>
  <si>
    <t>1. Wind; Diaspore is propelled by action of wind on the plant structure; Direct or experimental observation; (Ridley, 1930); Diaspore=seed. 2. Wind; Diaspore is blown by wind; Method not stated; (Bouman et al., 2000); seeds dispersed internally by deer (sometimes; Albert et al. 2015). Seeds dispersed attached to cattle fur, wind-dispersed (small seeds shed from capsule above surrounding vegetation)(Couvreur et al. 2004)</t>
  </si>
  <si>
    <t>Dimorphotheca fruticosa (L.) Less., 1832</t>
  </si>
  <si>
    <t>Dimorphotheca fruticosa</t>
  </si>
  <si>
    <t>Osteospermum fruticosum; Calendula fruticosa</t>
  </si>
  <si>
    <t>dimorphotheca</t>
  </si>
  <si>
    <t>seeds hairless</t>
  </si>
  <si>
    <t>NZ Flora Online: bank, clay, cliff, coast, dry, gravel, lava, open, pasture, ridge, roadside, rock outcrop, sand, scrubland, shaded, sheltered, shrubland, slope, stone, track, wasteland; NZPCN: Sand and coastal sites.</t>
  </si>
  <si>
    <t>ETNZF</t>
  </si>
  <si>
    <t>Dipogon lignosus (L.) Verdc.</t>
  </si>
  <si>
    <t>Dipogon lignosus</t>
  </si>
  <si>
    <t>mile-a-minute</t>
  </si>
  <si>
    <t>climbing plant with wiry stems up to 3m long</t>
  </si>
  <si>
    <t>3?</t>
  </si>
  <si>
    <t>NZ Flora Online:  bank, clay, coast, dry, hill, lava, lowland, margin, open, pasture, riparian, roadside, rock outcrop, sand, shaded, sheltered, shrubland, silt, slope, stone, track, wasteland; NZPCN: Forest edge, shrublands, track or road sides in open sun.</t>
  </si>
  <si>
    <t>has no structures directly aiding active seed dispersal and large seeds &gt;10 mg (Esler 1988); NZPCN: Suspected water dispersal and possible spread by birds in nesting material (DoC, 1998). Gravity, water, birds?, humans. (T. McCluggage pers com)</t>
  </si>
  <si>
    <t>Dolichandra unguis-cati (L.) L.G.Lohmann</t>
  </si>
  <si>
    <t>Dolichandra unguis-cati</t>
  </si>
  <si>
    <t>Macfadyena unguis-cati</t>
  </si>
  <si>
    <t>cat's claw creeper</t>
  </si>
  <si>
    <t>fruit contain numerous papery, winged seeds</t>
  </si>
  <si>
    <t>NZ Flora Online:  shrubland, wasteland</t>
  </si>
  <si>
    <t>Dryopteris filix-mas (L.) Schott.</t>
  </si>
  <si>
    <t>Dryopteris filix-mas</t>
  </si>
  <si>
    <t>male fern</t>
  </si>
  <si>
    <t>Eccremocarpus scaber Ruiz &amp; Pav.</t>
  </si>
  <si>
    <t>Eccremocarpus scaber</t>
  </si>
  <si>
    <t>Chilean glory creeper</t>
  </si>
  <si>
    <t>seeds have prominent wing; climber</t>
  </si>
  <si>
    <t>NZ Flora Online: open, roadside</t>
  </si>
  <si>
    <t>seeds have a prominent wing that aids wind dispersal (NZPCN)</t>
  </si>
  <si>
    <t>Echium vulgare L.</t>
  </si>
  <si>
    <t>Echium vulgare</t>
  </si>
  <si>
    <t>viper's bugloss</t>
  </si>
  <si>
    <t>often much less than 90cm high, seeds surrounded by five bristly bracts</t>
  </si>
  <si>
    <t>0.9?</t>
  </si>
  <si>
    <t>NZ Flora Online: bank, dry, grassland, gravel, loam, lowland, margin, montane, open, pasture, roadside, shrubland, silt, slope, stone, terrace, track, tussockland, unstable/eroded, wasteland; NZPCN: Short tussock grassland, herbfield, bare land, riverbeds, usually in dry, low fertility inland areas.</t>
  </si>
  <si>
    <t>nutlet</t>
  </si>
  <si>
    <r>
      <t>Echium plantagineum</t>
    </r>
    <r>
      <rPr>
        <sz val="11"/>
        <rFont val="Calibri"/>
        <family val="2"/>
        <scheme val="minor"/>
      </rPr>
      <t xml:space="preserve"> and </t>
    </r>
    <r>
      <rPr>
        <i/>
        <sz val="11"/>
        <rFont val="Calibri"/>
        <family val="2"/>
        <scheme val="minor"/>
      </rPr>
      <t>E. candicans</t>
    </r>
    <r>
      <rPr>
        <sz val="11"/>
        <rFont val="Calibri"/>
        <family val="2"/>
        <scheme val="minor"/>
      </rPr>
      <t xml:space="preserve"> have no structures directly aiding active seed dispersal and medium-sized seeds (1-10 mg) (Esler 1988). NZPCN: Produces many, long-lived seeds that are dispersed by wind, water, river gravel.</t>
    </r>
  </si>
  <si>
    <t>Wind; Diaspore is rolled along ground surface by wind; Direct or experimental observation; (Ridley, 1930); Diaspore=whole plant. The entire plant breaks off at ground level.</t>
  </si>
  <si>
    <t>Egeria densa Planch.</t>
  </si>
  <si>
    <t>Egeria densa</t>
  </si>
  <si>
    <t>dense water weed</t>
  </si>
  <si>
    <t>Does not produce seeds (Timmins &amp; Mackenzie 1995); dioecious species with only one sex present in NZ (Esler 1988).</t>
  </si>
  <si>
    <t>Ehrharta erecta Lam.</t>
  </si>
  <si>
    <t>Ehrharta erecta</t>
  </si>
  <si>
    <t>veld grass</t>
  </si>
  <si>
    <t>NZ Flora Online: bank, clay, cliff, coast, dry, forest, forest edge, grassland, gravel, gully, hill, lowland, margin, moist, open, pasture, ridge, roadside, rock outcrop, sand, scrubland, shaded, sheltered, shrubland, silt, slope, stone, terrace, track, tree, wasteland; NZPCN: A plant of coastal and lowland habitats (Timmins &amp; MacKenzie 1995). Plant grows in sites of low fertility (Timmins &amp; MacKenzie 1995). A plant of sand dunes, cliffs and bluff communities (Timmins &amp; MacKenzie 1995).</t>
  </si>
  <si>
    <t>seed dispersal by wind, water and birds (Timmins &amp; McKenzie 1995).</t>
  </si>
  <si>
    <t>Ehrharta villosa</t>
  </si>
  <si>
    <t>pyp grass</t>
  </si>
  <si>
    <t>NZ Flora Online: coast, dry, open, roadside, sand, shaded, sheltered, slope, track, unstable/eroded; NZPCN: Short tussockland, herbfield, bare land, wetland, mainly on coastline, sand dunes.</t>
  </si>
  <si>
    <t>Hodder 1997</t>
  </si>
  <si>
    <t>Dispersal of these seeds was limited to within 5m of the source population and no seeds were discovered in the soil seed bank (Hodder 1997)</t>
  </si>
  <si>
    <t>may be information in Hilton et al. 2007, but couldn't download pdf</t>
  </si>
  <si>
    <t>elaeagnus</t>
  </si>
  <si>
    <t>achene enclosed by fleshy hypanthium (Webb et al. 1988); Normally produces only a low number of fruit (Fromont &amp; King 1992)</t>
  </si>
  <si>
    <t>Timmins &amp; Mackenzie 1995; Atkinson 1997; Fromont &amp; King 1992; Esler 1988</t>
  </si>
  <si>
    <t>Dispersed by birds and vertebrate animals (Fromont &amp; King 1992); Has succulent fruits which are dispersed by birds quite effectively (Esler 1988).</t>
  </si>
  <si>
    <t>Elodea canadensis Michx.</t>
  </si>
  <si>
    <t>Elodea canadensis</t>
  </si>
  <si>
    <t>Canadian pondweed</t>
  </si>
  <si>
    <t>Does not produce seeds (Healy &amp; Edgar 1980); dioecious species with only one sex present in NZ (Esler 1988). Capsules not present in NZ (Healy and Edgar 1980)</t>
  </si>
  <si>
    <t>Embothrium coccineum</t>
  </si>
  <si>
    <t>chilean fire bush</t>
  </si>
  <si>
    <t>shrub or tree</t>
  </si>
  <si>
    <t>NZ Flora Online: bank, clay, dry, hill, margin, open, pasture, ridge, roadside, shrubland, slope, terrace</t>
  </si>
  <si>
    <t>reproduces exclusively by seed, seeds dispersed by wind and gravity (NZPCN)</t>
  </si>
  <si>
    <t>Epilobium hirsutum L.</t>
  </si>
  <si>
    <t>Epilobium hirsutum</t>
  </si>
  <si>
    <t>great willowherb</t>
  </si>
  <si>
    <t>not in Flora or NZ Flora Online; NZPCN: semi-aquatic</t>
  </si>
  <si>
    <t>NZPCN: Wetlands margins and damp ground in wasteland and urban areas.</t>
  </si>
  <si>
    <t>NZPCN (factsheet prepared by de Lange, P.J.)</t>
  </si>
  <si>
    <t>wind dispersed seeds (NZPCN)</t>
  </si>
  <si>
    <t>seeds dispersed internally by deer (Albert et al. 2015); wind dispersed, moderate floating potential (Soomers et al. 2013); Seeds have white tufts of hair that aid in their dispersal by wind (https://plants.ces.ncsu.edu/plants/epilobium-hirsutum/, 21/6/2022). E. angustifolium: Wind; Diaspore is blown by wind; Direct or experimental observation; (McCartney, 1990, cited in Kew SID); Diaspore=seed. The seed is plumed.</t>
  </si>
  <si>
    <t>Equisetum arvense L.</t>
  </si>
  <si>
    <t>Equisetum arvense</t>
  </si>
  <si>
    <t>field horsetail</t>
  </si>
  <si>
    <t>Eragrostis curvula</t>
  </si>
  <si>
    <t>African love grass</t>
  </si>
  <si>
    <t>NZ Flora Online: bank, dry, grassland, hill, pasture, roadside, sand, slope, wasteland; NZPCN: Dry steep sites, short and tall tussock grassland, coastal areas, riverbeds, cliffs, herbfields.</t>
  </si>
  <si>
    <t>McIntyre et al. 1995; NZPCN website, accessed 13 April 2023</t>
  </si>
  <si>
    <t>Can be dispersed short distances by wind</t>
  </si>
  <si>
    <t>Undefined seed dispersal morphology (McIntyre et al. 1995); E. australasica: Unassisted; Seeds drop to the ground close to or beneath the parent plant; Assumption based upon diaspore morphology; (Jurado et al., 1991, cited in Kew SID)</t>
  </si>
  <si>
    <t>Erica arborea L.</t>
  </si>
  <si>
    <t>Erica arborea</t>
  </si>
  <si>
    <t>tree heath</t>
  </si>
  <si>
    <t>shrub or small tree</t>
  </si>
  <si>
    <t>NZ Flora Online: bank, margin, open, pasture, roadside, slope, track; NZPCN: Riverbanks and regenerating forest.</t>
  </si>
  <si>
    <t>Esler 1988; Mather &amp; Williams 1990</t>
  </si>
  <si>
    <r>
      <t xml:space="preserve">see info for </t>
    </r>
    <r>
      <rPr>
        <i/>
        <sz val="11"/>
        <rFont val="Calibri"/>
        <family val="2"/>
        <scheme val="minor"/>
      </rPr>
      <t>Erica lusitanica</t>
    </r>
  </si>
  <si>
    <t>Erica baccans L.</t>
  </si>
  <si>
    <t>Erica baccans</t>
  </si>
  <si>
    <t>berry heath</t>
  </si>
  <si>
    <t>NZ Flora Online: bank, dry, flat , hill, lowland, margin, open, roadside, sand, shrubland, slope, stone</t>
  </si>
  <si>
    <r>
      <t xml:space="preserve">Dispersed by gravity and humans (Atkinson 1997, cited on NZPCN website, accessed 13 April 2023); see info for </t>
    </r>
    <r>
      <rPr>
        <i/>
        <sz val="11"/>
        <rFont val="Calibri"/>
        <family val="2"/>
        <scheme val="minor"/>
      </rPr>
      <t>Erica lusitanica</t>
    </r>
  </si>
  <si>
    <t>Erica caffra L.</t>
  </si>
  <si>
    <t>Erica caffra</t>
  </si>
  <si>
    <t>hedge heath</t>
  </si>
  <si>
    <t>NZ Flora Online: bank, clay, hill, ridge, roadside, shaded, sheltered, shrubland</t>
  </si>
  <si>
    <r>
      <t xml:space="preserve">People, gravity (NZPCN); see info for </t>
    </r>
    <r>
      <rPr>
        <i/>
        <sz val="11"/>
        <rFont val="Calibri"/>
        <family val="2"/>
        <scheme val="minor"/>
      </rPr>
      <t>Erica lusitanica</t>
    </r>
  </si>
  <si>
    <t>Erica cinerea L.</t>
  </si>
  <si>
    <t>Erica cinerea</t>
  </si>
  <si>
    <t>bell heather</t>
  </si>
  <si>
    <t>NZPCN: Low stature shrub and tussock communities</t>
  </si>
  <si>
    <t>90.4% of seeds dispersed within 0.8m from centre of plant, maximum distance 80m rare events</t>
  </si>
  <si>
    <t>Esler 1988; Mather &amp; Williams 1990; Bullock &amp; Clarke 2000</t>
  </si>
  <si>
    <t>Esler 1988 says unspecialised</t>
  </si>
  <si>
    <t>wind dispersed, measured dispersal distances using seed traps around isolated plants (Bullock &amp; Clarke 2000); seeds dispersed by deer internally (sometimes) and attached to fur (always) and hooves (sometimes; Albert et al. 2015).</t>
  </si>
  <si>
    <t>Erica lusitanica Rudolphi</t>
  </si>
  <si>
    <t>Erica lusitanica</t>
  </si>
  <si>
    <t>Spanish heath</t>
  </si>
  <si>
    <t>NZ Flora Online: alpine, bank, clay, coast, dry, flat, forest, gap, grassland, gravel, gully, hill, log, lowland, margin, moist, open, pasture, peat, ridge, roadside, sand, shrubland, silt, slope, stone, terrace, track, tussockland, wasteland, wetland</t>
  </si>
  <si>
    <t>has no active structures aiding active dispersal and very small (dust) seeds weighing &lt;0.1 mg (Esler 1988); seeds are released gradually as capsules are shaken gently by wind or passing animals (Mather &amp; Williams 1990).</t>
  </si>
  <si>
    <t>Erica vagans L.</t>
  </si>
  <si>
    <t>Erica vagans</t>
  </si>
  <si>
    <t>Cornish heath</t>
  </si>
  <si>
    <t>Erigeron karvinskianus DC.</t>
  </si>
  <si>
    <t>Erigeron karvinskianus</t>
  </si>
  <si>
    <t>Mexican daisy</t>
  </si>
  <si>
    <t>NZ Flora Online: bank, clay, cliff, coast, dry, gap, gorge, gravel, hill, lowland, margin, moist, open, pasture, ridge, riparian, roadside, rock outcrop, sand, scrubland, shaded, sheltered, slope, stone, terrace, track, wasteland; NZPCN: Intact and disturbed bush, shrubland, tussockland, fernland, herbfield, bare land, streamsides, cliffs and bluffs, inshore and offshore islands, gumlands, consolidated sand dunes, most coastal areas, riverbeds, epiphyte niches.</t>
  </si>
  <si>
    <t>NZPCN website, accessed 13 April 2023; ETNZF</t>
  </si>
  <si>
    <t>Spreads mainly by windblown seeds. Other dispersal methods include roadside mowers, machinery, gravel and water actions. (NZPCN)</t>
  </si>
  <si>
    <t>Eriobotrya japonica</t>
  </si>
  <si>
    <t>Rhaphiolepis bibas</t>
  </si>
  <si>
    <t>loquat</t>
  </si>
  <si>
    <t>tree up to 8 m high</t>
  </si>
  <si>
    <t>NZ Flora Online:  bank, clay, dry, gap, gully, hill, loam, lowland, margin, moist, roadside, sand, shaded, sheltered, shrubland, silt, slope, stone, terrace, wasteland</t>
  </si>
  <si>
    <t>pome</t>
  </si>
  <si>
    <t>Fromont &amp; King 1992; Karan 2000</t>
  </si>
  <si>
    <t>Loquat is known to be eaten by pigeons…and may be spread into light forest by this vector (Fromont &amp; King 1992); visited by kereru, blackbird, sparrow (main visitor in Auckland), silvereye, rosella, myna &amp; starling - only kereru capable of swallowing fruits (Karan 2000).</t>
  </si>
  <si>
    <t>Erythranthe guttata (DC.) G.L.Nesom</t>
  </si>
  <si>
    <t>Erythranthe guttata</t>
  </si>
  <si>
    <t>Mimulus guttatus</t>
  </si>
  <si>
    <t>NZ Flora Online: bank, forest, forest edge, gravel, lowland, moist, open, pasture, peat, riparian, river terrace, riverbed, roadside, rock outcrop, sand, sheltered, shrubland, silt, slope, terrace, wetland; Lowland to montane regions, alongside streams, rivers, lakes, drains and swamps.</t>
  </si>
  <si>
    <t>NZPCN website, accessed 13 April 2023 (Factsheet prepared by Paul Champion and Deborah Hofstra (NIWA))</t>
  </si>
  <si>
    <t>reproduces from seed and rhizome fragments. Dispersal by water movement and dumped soil.Dispersal by water movement and dumped soil.</t>
  </si>
  <si>
    <t>M. aurantiacus: Unassisted and/or methods originating from parent plant; Method not stated; (Keeley, 1991, cited in Kew SID)</t>
  </si>
  <si>
    <t>coral tree</t>
  </si>
  <si>
    <t>Pods not formed (Webb et al. 1988).</t>
  </si>
  <si>
    <t>Eschscholzia californica Cham.</t>
  </si>
  <si>
    <t>Eschscholzia californica</t>
  </si>
  <si>
    <t>californian poppy</t>
  </si>
  <si>
    <t>Keely 1991, cited in Kew SID</t>
  </si>
  <si>
    <t>Unassisted and/or methods originating from parent plant; Method not stated; (Keeley, 1991, cited in Kew SID)</t>
  </si>
  <si>
    <t>Eucalyptus delegatensis</t>
  </si>
  <si>
    <t>alpine ash</t>
  </si>
  <si>
    <t>large or very large tree</t>
  </si>
  <si>
    <r>
      <t xml:space="preserve">NZ Flora Online: gravel, track; NZPCN: </t>
    </r>
    <r>
      <rPr>
        <b/>
        <sz val="11"/>
        <rFont val="Calibri"/>
        <family val="2"/>
        <scheme val="minor"/>
      </rPr>
      <t>Regenerating near old plantations.</t>
    </r>
  </si>
  <si>
    <t>Cremer 1977</t>
  </si>
  <si>
    <t>1. Wind; Diaspore is blown by wind; Method not stated; (Young &amp; Young, 1992, cited in Kew SID); Diaspore=seed. On the basis of seed morphology it is also likely that unassisted dispersal plays a key role, with seeds dropping to the ground close to the parent plant. 2. Wind; Diaspore is blown by wind; Method not stated; (Cremer, 1977, cited in Kew SID)</t>
  </si>
  <si>
    <t>Eugenia biflora</t>
  </si>
  <si>
    <t>brush cherry</t>
  </si>
  <si>
    <t>Euonymus europaeus L.</t>
  </si>
  <si>
    <t>Euonymus europaeus</t>
  </si>
  <si>
    <t>spindle tree</t>
  </si>
  <si>
    <t>capsule with fleshy aril; shrub or small tree up to 6 m high</t>
  </si>
  <si>
    <t>NZ Flora Online: bank, clay, coast, dry, forest, forest edge, gap, hill, lake margin, lowland, margin, moist, open, pasture, riparian, roadside, sand, shaded, sheltered, shrubland, silt, slope, stone, terrace, wasteland, wetland</t>
  </si>
  <si>
    <t>Webb et al. 1988; Burrows 1995; Williams &amp; Karl 1996</t>
  </si>
  <si>
    <t>Fruits are bird-dispersed and, as a result, seedlings often appear spontaneously within gardens (Webb et al. 1988). Seeds dispersed by silvereyes (Williams &amp; Karl 1996; Henderson unpubl. data). Bird dispersed (Burrows 1995).</t>
  </si>
  <si>
    <t>England: fruits are eaten by blackbird &amp; occasionally song thrush; also eaten by other bird species (Snow &amp; Snow 1988).</t>
  </si>
  <si>
    <t>Euonymus japonicus Thunb.</t>
  </si>
  <si>
    <t>Euonymus japonicus</t>
  </si>
  <si>
    <t>Japanese spindle tree</t>
  </si>
  <si>
    <t>capsule with fleshy aril, shrub or small tree up to 7 m high</t>
  </si>
  <si>
    <t>NZ Flora Online: bank, clay, coast, dry, loam, lowland, open, roadside, sand, shaded, sheltered, shrubland, slope, stone, terrace, unstable/eroded</t>
  </si>
  <si>
    <t>Ando et al. 2022</t>
  </si>
  <si>
    <r>
      <t>Euonymus europaeus</t>
    </r>
    <r>
      <rPr>
        <sz val="11"/>
        <rFont val="Calibri"/>
        <family val="2"/>
        <scheme val="minor"/>
      </rPr>
      <t xml:space="preserve"> seeds dispersed by birds (Webb et al. 1988; Williams &amp; Karl 1996)</t>
    </r>
  </si>
  <si>
    <t>viable seeds in pigeon faeces in Japan (Ando et al. 2022)</t>
  </si>
  <si>
    <t>Eupatorium cannabinum L.</t>
  </si>
  <si>
    <t>Eupatorium cannabinum</t>
  </si>
  <si>
    <t>hemp agrimony</t>
  </si>
  <si>
    <t>NZ Flora Online: bank, clay, coast, dry, forest edge, gap, gully, hill, lowland, margin, moist, open, pasture, peat, roadside, sand, sheltered, shrubland, silt, slope, stone, terrace, tussockland, wasteland, wetland; NZPCN: Wetlands and riparian margins of water bodies, particularly areas that are rich in Nitrogen.</t>
  </si>
  <si>
    <t>NZPCN website, accessed 13 April 2023 (Factsheet prepared by Paul Champion and Deborah Hofstra (NIWA)); Matlack 1987; Couvreur et al. 2004; Albert et al. 2015</t>
  </si>
  <si>
    <t>Produces thousands of tiny wind dispersed seeds. Also has the potential to spread by water and contaminated machinery, deliberate planting (NZPCN Factsheet prepared by Paul Champion and Deborah Hofstra (NIWA)).</t>
  </si>
  <si>
    <t>Wind; Diaspore is blown by wind; Method not stated; Diaspore=achene+pappus (Matlack 1987). Seeds are dispersed internally by deer (sometimes; Albert et al. 2015). Seeds dispersed attached to cattle and donkey fur, wind-dispersed plumed seed (Couvreur et al. 2004)</t>
  </si>
  <si>
    <t>Euphorbia paralias</t>
  </si>
  <si>
    <t>sea spurge</t>
  </si>
  <si>
    <t>Euphorbia: Fr. usually a 3-celled capsule separating at maturity from the persistent axis</t>
  </si>
  <si>
    <t>NZPCN: Coastal - on sandy beaches and sand dunes. A strand-line species.</t>
  </si>
  <si>
    <t>buoyant seed</t>
  </si>
  <si>
    <t>Ridley 1930, cited in Kew SID</t>
  </si>
  <si>
    <t>Water; Method not stated; (Ridley, 1930, cited in Kew SID); Diaspore=seed. The diaspore is buoyant.</t>
  </si>
  <si>
    <t>Fatsia japonica</t>
  </si>
  <si>
    <t>fatsia</t>
  </si>
  <si>
    <t>shrub or small tree up to 2 (-4)m high; NZPCN: Tree (up to 6 m)</t>
  </si>
  <si>
    <t>NZ Flora Online:  bank, coast, dry, lowland, moist, pasture, roadside, sand, shaded, sheltered, shrubland, slope, stone, terrace, wasteland</t>
  </si>
  <si>
    <t>berry-like</t>
  </si>
  <si>
    <t>Rogan 1997</t>
  </si>
  <si>
    <t>while naturalised plants are generally found in bush near residential areas they are frequently found with no adult plants in the immediate vicinity, suggesting that the seed is dispersed a reasonable distance, most probably by birds, e.g. starlings, blackbirds, mynas, song thrushes and kereru (Rogan 1997).</t>
  </si>
  <si>
    <t>Festuca rubra L.</t>
  </si>
  <si>
    <t>Festuca rubra</t>
  </si>
  <si>
    <t>Chewing's fescue</t>
  </si>
  <si>
    <t>inflorescence is up to 45 cm long</t>
  </si>
  <si>
    <t>NZ Flora Online:  alpine, bank, cliff, coast, dry, flat , forest, forest edge, grassland, gravel, gully, hill, lake margin, loam, lowland, margin, moist, montane, open, pasture, peat, ridge, riparian, river terrace, riverbed, roadside, rock outcrop, sand, scree, scrubland, shaded, sheltered, shrubland, silt, slope, stone, terrace, track, tussockland, wasteland</t>
  </si>
  <si>
    <t>awn</t>
  </si>
  <si>
    <t>Couvreur et al. 2004; Mouissie et al. 2005; Albert et al. 2015</t>
  </si>
  <si>
    <r>
      <t>Festuca arundinacea</t>
    </r>
    <r>
      <rPr>
        <sz val="11"/>
        <rFont val="Calibri"/>
        <family val="2"/>
        <scheme val="minor"/>
      </rPr>
      <t xml:space="preserve"> has no structures directly aiding active seed dispersal and medium-sized seeds (1-10 mg) (Esler 1988).</t>
    </r>
  </si>
  <si>
    <t>seeds attached to real sheep fleece in considerable numbers, also attached to both sheep and cattle experimental dummies (Mouissie et al. 2005); seeds are dispersed internally by deer (sometimes; Albert et al. 2015). Seeds dispersed attached to cattle and donkey fur, animal-dispersed with awn (Couvreur et al. 2004)</t>
  </si>
  <si>
    <t>Ficus macrophylla Desf.</t>
  </si>
  <si>
    <t>Ficus macrophylla</t>
  </si>
  <si>
    <t>Moreton Bay fig</t>
  </si>
  <si>
    <t>not in flora (see: Heenan et al. 1998 for casual record but no description, NZPCN website and Flora of Australia Online https://profiles.ala.org.au/opus/foa/profile/Ficus%20macrophylla, accessed 16/6/2023)</t>
  </si>
  <si>
    <t>NZ Flora Online: coast, dry, margin, open, roadside, shaded, sheltered</t>
  </si>
  <si>
    <t>syncarp</t>
  </si>
  <si>
    <t>Moncrieff 1928; Macdonald 1951; Anderson 2006; Spurr et al. 2011</t>
  </si>
  <si>
    <t>house sparrows eat figs (Moncrieff 1928); myna, blackbird, starling, silvereye, house sparrow, and grey warbler all feeding in two fig trees in urban garden, Howick, Auckland, at same time (Macdonald 1951); bellbirds eat Ficus spp. fruits</t>
  </si>
  <si>
    <t>Fraxinus excelsior L.</t>
  </si>
  <si>
    <t>Fraxinus excelsior</t>
  </si>
  <si>
    <t>ash</t>
  </si>
  <si>
    <t>NZ Flora Online: bank, clay, dry, forest, gap, gravel, gully, hill, loam, lowland, margin, moist, open, pasture, river terrace, rock outcrop, sand, shaded, sheltered, shrubland, silt, slope, stone, terrace, wasteland' NZPCN: riverflats, forest, scrub and waste places.</t>
  </si>
  <si>
    <t>van der Pijl 1982, cited in Kew SID; Spurr et al. 2011</t>
  </si>
  <si>
    <t>bellbirds eat fruits (Spurr et al. 2011)</t>
  </si>
  <si>
    <t>Wind; Diaspore is blown by wind; Direct or experimental observation; (van der Pijl, 1982, cited in Kew SID); Diaspore=samara. The diaspore has wings or wing-like features.</t>
  </si>
  <si>
    <t>Fuchsia boliviana Carrière</t>
  </si>
  <si>
    <t>Fuchsia boliviana</t>
  </si>
  <si>
    <t>Bolivia fuchsia</t>
  </si>
  <si>
    <t>shrub to 3m high</t>
  </si>
  <si>
    <t>NZ Flora Online: bank, clay, coast, gravel, gully, lowland, margin, roadside, sand, shaded, silt, wasteland</t>
  </si>
  <si>
    <t>Furcraea foetida</t>
  </si>
  <si>
    <t>Furcraea selloa K.Koch</t>
  </si>
  <si>
    <t>Furcraea selloa</t>
  </si>
  <si>
    <t>not in Flora; Furcraea: Some spp. reproducing only by bulbils and not forming seed; no data in Kew SID; Wilcox 2005: Flower stem to 5m; Peter de Lange pers. comm. 20/7/2022: never seen setting seed</t>
  </si>
  <si>
    <t>Genista monspessulana (L.) L.A.S.Johnson</t>
  </si>
  <si>
    <t>Genista monspessulana</t>
  </si>
  <si>
    <t>Teline monspessulana; Cytisus monspessulanus</t>
  </si>
  <si>
    <t>soft broom</t>
  </si>
  <si>
    <t>seed set rare</t>
  </si>
  <si>
    <t>explosively dehiscent pod, none</t>
  </si>
  <si>
    <t>explosively dehiscent (Webb et al. 1988); has no structures directly aiding active dispersal and large seeds &gt;10 mg (Esler 1988).</t>
  </si>
  <si>
    <t>Glaucium flavum Crantz</t>
  </si>
  <si>
    <t>Glaucium flavum</t>
  </si>
  <si>
    <t>horned poppy</t>
  </si>
  <si>
    <t>coastal</t>
  </si>
  <si>
    <t>explosively dehiscent capsule</t>
  </si>
  <si>
    <t>Solas et al. 2004</t>
  </si>
  <si>
    <t>The capsules are erect and dehisce from the top, indicating ballistic dispersal; sometimes the entire stem detaches from the rosette, possibly dispersing the seeds as windblown tumble weeds. Seed dispersal is generally ballistic with fairly restricted local dispersal; diaspore bouyancy and post-bouyancy germination are much more limited than for other beach plants; infructescences may be dispersed as tumbleweeds by wind (Solas et al. 2004).</t>
  </si>
  <si>
    <t>Glyceria declinata</t>
  </si>
  <si>
    <t>blue sweet grass</t>
  </si>
  <si>
    <t>emergent aquatic</t>
  </si>
  <si>
    <t>NZ Flora Online: bank, clay, coast, forest, gravel, gully, hill, lake margin, lowland, margin, moist, montane, open, pasture, peat, riparian, riverbed, roadside, sand, shaded, silt, slope, stone, terrace, track, tussockland, wasteland, wetland; NZPCN: Aquatic in drains and other slow flowing water bodies. Damp ground in swamps and pastures, drains and river banks.</t>
  </si>
  <si>
    <t>NZPCN Factsheet prepared by Paul Champion and Deborah Hofstra (NIWA).</t>
  </si>
  <si>
    <t>Seed and vegetative fragment spread by water movement. Seed is produced but is probably not viable for more than one season.</t>
  </si>
  <si>
    <t>G. aquatica: Water; Floating in freshwater currents; Direct or experimental observation; (Ridley, 1930, cited in Kew SID); Diaspore=caryopsis+glume. The diaspore is buoyant. G. fluitans: dispered by deer (Albert et al. 2015), epichorous, mucilage adhesion (Rosenthal 2006); G. canadensis and G. striata dispersed internally by deer (Flaherty et al. 2018).</t>
  </si>
  <si>
    <t>Glyceria fluitans</t>
  </si>
  <si>
    <t>floating sweet grass</t>
  </si>
  <si>
    <t>NZ Flora Online: bank, coast, lake margin, margin, moist, open, pasture, peat, roadside, sand, silt, slope, wetland; NZPCN: Aquatic in drains and other slow flowing waterbodies. Damp ground in swamps and pastures, drains and river banks.</t>
  </si>
  <si>
    <t>mucilage</t>
  </si>
  <si>
    <t>NZPCN; Couvreur et al. 2004; Albert et al. 2015</t>
  </si>
  <si>
    <t>Seed and stem fragments spread within catchment via water flow. Contaminated diggers, livestock, soil movement, dumped vegetation, eel nets boats and trailers all spread seed and rhizomes into new catchments (NZPCN factsheet prepared by Paul Champion and Deborah Hofstra (NIWA)).</t>
  </si>
  <si>
    <t>epichorous, mucilage adhesion (Rosenthal 2006); seeds dispersed internally by deer (Albert et al. 2015). Seeds dispersed attached to cattle fur (Couvreur et al. 2004)</t>
  </si>
  <si>
    <t>Glyceria maxima</t>
  </si>
  <si>
    <t>reed sweet grass</t>
  </si>
  <si>
    <t>van den Broek et al. 2005</t>
  </si>
  <si>
    <t>experiments show seeds are moderately buoyant (van den Broek et al. 2005); hydrochorous? (Rosenthal 2006); G. fluitans dispered by deer (Albert et al. 2015), epichorous, mucilage adhesion (Rosenthal 2006); G. canadensis and G. striata dispersed internally by deer (Flaherty et al. 2018).</t>
  </si>
  <si>
    <t>Gunnera tinctoria (Molina) Mirb.</t>
  </si>
  <si>
    <t>Gunnera tinctoria</t>
  </si>
  <si>
    <t>Chilean rhubarb</t>
  </si>
  <si>
    <t>Lvs to  c. 2.5 m high</t>
  </si>
  <si>
    <t>NZ Flora Online: bank, clay, cliff, coast, gap, gorge, gravel, hill, lowland, margin, moist, open, pasture, ridge, riparian, roadside, rock outcrop, sand, shaded, sheltered, shrubland, silt, slope, stone, terrace, unstable/eroded, wasteland. NZPCN: Margins of wetlands, damp cliffs and banks, often in light shade.</t>
  </si>
  <si>
    <t>Williams et al. 2005</t>
  </si>
  <si>
    <r>
      <t>blackbird &amp; white-eye (</t>
    </r>
    <r>
      <rPr>
        <i/>
        <sz val="11"/>
        <rFont val="Calibri"/>
        <family val="2"/>
        <scheme val="minor"/>
      </rPr>
      <t>Zosterops lateralis</t>
    </r>
    <r>
      <rPr>
        <sz val="11"/>
        <rFont val="Calibri"/>
        <family val="2"/>
        <scheme val="minor"/>
      </rPr>
      <t>) have been observed eating the fruit.</t>
    </r>
  </si>
  <si>
    <t>Gymnocoronis spilanthoides DC.</t>
  </si>
  <si>
    <t>Gymnocoronis spilanthoides</t>
  </si>
  <si>
    <t>Senegal tea</t>
  </si>
  <si>
    <t>not in flora (see: NZPCN and Webb et al. 1995); aquatic plant, either forming a rounded bush or a tangled mass of vegetation along waterways</t>
  </si>
  <si>
    <t>NZPCN: Aquatic: Emergent. The plant grows in wet marshy soils and at water margins, Plant grows in wetland communities in still or flowing water.</t>
  </si>
  <si>
    <t>Seed, stems and root fragments are dispersed in water, on livestock hooves and machinery. Can also be spread by dumped aquaria contents when liberating fish (NZPCN factsheet prepared by Paul Champion and Deborah Hofstra (NIWA)).</t>
  </si>
  <si>
    <t>Hakea gibbosa</t>
  </si>
  <si>
    <t>downy hakea</t>
  </si>
  <si>
    <t>wing extending down both margins of seed (Webb et al. 1988)</t>
  </si>
  <si>
    <t>NZ Flora Online: bank, dry, hill, open, ridge, roadside, track; NZPCN: A coastal and lowland plant. Plant grows in low fertility sites. The plant is found in scrub and forest margin, shrubland and gumlands (Timmins &amp; MacKenzie 1995).</t>
  </si>
  <si>
    <t>Timmins &amp; Mackenzie 1995; Esler 1988; Atkinson 1997; Cronk &amp; Fuller 1995</t>
  </si>
  <si>
    <t>Hakea salicifolia (Vent.) B.L.Burtt</t>
  </si>
  <si>
    <t>Hakea salicifolia</t>
  </si>
  <si>
    <t>willow-leaved hakea</t>
  </si>
  <si>
    <t>NZ Flora Online:  bank, clay, gully, hill, lowland, open, pasture, peat, ridge, roadside, slope, terrace, track; NZPCN: A coastal and lowland plant (Timmins &amp; MacKenzie 1995). The plant is found at sites with low fertility (Timmins &amp; MacKenzie 1995). A plant confined to very poor soils (Timmins &amp; MacKenzie 1995). The plant is found in low forest, scrub and forest margin, shrubland and fernlands (Timmins &amp; MacKenzie 1995).</t>
  </si>
  <si>
    <t>Timmins &amp; Mackenzie 1995; Esler 1988; Atkinson 1997</t>
  </si>
  <si>
    <t>Hakea sericea</t>
  </si>
  <si>
    <t>needlebush; prickly hakea</t>
  </si>
  <si>
    <t>NZ Flora Online:  bank, coast, hill, lava, open, pasture, roadside, rock outcrop, scree, shrubland, silt; NZPCN: A coastal and lowland plant (Timmins &amp; MacKenzie 1995). The plant grows in low fertility sites (Timmins &amp; MacKenzie 1995). A plant of low forest, scrub and forest margin and shrubland (Timmins &amp; MacKenzie 1995).</t>
  </si>
  <si>
    <t>Hedera canariensis Willd.</t>
  </si>
  <si>
    <t>Hedera canariensis</t>
  </si>
  <si>
    <t>Hedera helix subsp. canariensis</t>
  </si>
  <si>
    <t>Canary ivy</t>
  </si>
  <si>
    <t>Hedera helix L.</t>
  </si>
  <si>
    <t>Hedera helix</t>
  </si>
  <si>
    <t>ivy</t>
  </si>
  <si>
    <t>Snow &amp; Snow report 1-5 seeds/fruit and fruit type is berry.</t>
  </si>
  <si>
    <t>NZ Flora Online: bank, clay, cliff, coast, dry, forest, forest edge, grassland, hill, lowland, margin, open, pasture, roadside, rock outcrop, sand, shrubland, slope, stone, terrace, wasteland. NZPCN: Forest understorey, shrubland, rocky cliffs, open areas where there is some support for its scrambling habit. Flora: waste places, riverbeds and stream banks, cliffs</t>
  </si>
  <si>
    <t>Webb et al. 1988; Fromont &amp; King 1992; Esler 1988; Burrows 1995; Atkinson 1997</t>
  </si>
  <si>
    <t>Fruit dispersed by birds (Fromont &amp; King 1992; Burrows 1995; Atkinson 1997); Has succulent fruits which are dispersed by birds quite effectively (Esler 1988).</t>
  </si>
  <si>
    <t>fruits eaten by primarily by blackbird, also song thrush &amp; starling (Snow &amp; Snow 1988).</t>
  </si>
  <si>
    <t>Hedychium flavescens Carey ex Rosc.</t>
  </si>
  <si>
    <t>Hedychium flavescens</t>
  </si>
  <si>
    <t>wild ginger</t>
  </si>
  <si>
    <t>Hedychium gardnerianum</t>
  </si>
  <si>
    <t>Stems to 2 m high</t>
  </si>
  <si>
    <t>NZ Flora Online: bank, clay, dry, forest edge, gorge, gully, lowland, open, ridge, roadside, sand, shaded, sheltered, slope, stone, terrace, track, unstable/eroded, wasteland. NZPCN: Forests, regenerating forest, streamside and alluvial forest, forest light gaps and gullies. Prefers moderate to high fertility, not found in very dry or rocky areas.</t>
  </si>
  <si>
    <t>Timmins &amp; Mackenzie 1995; Fromont &amp; King 1992; Esler 1988.</t>
  </si>
  <si>
    <t>Dispersed by birds, especially blackbirds, possibly tui and mynas (Fromont &amp; King 1992); the arillate seed is carried in the gut of fruit-eating birds (Esler 1988).</t>
  </si>
  <si>
    <t>Helichrysum petiolare Hilliard &amp; B.L.Burtt</t>
  </si>
  <si>
    <t>Helichrysum petiolare</t>
  </si>
  <si>
    <t>liquorice plant</t>
  </si>
  <si>
    <t>not in Flora</t>
  </si>
  <si>
    <t>NZPCN: sand dunes, the margins of peat bogs, on yellow-brown and yellow-grey earths, cliff faces, and in urban situations. Once established very competitive, even in indigenous shrubland</t>
  </si>
  <si>
    <t>other Helichrysum spp. assumed to be dispersed by wind based on morphology: H. apiculatum (Jurado et al. 1991, cited in Kew SID), H. scorpioides (McIntyre et al. 1995, cited in Kew SID)</t>
  </si>
  <si>
    <t>Hieracium lepidulum (Stenstr.) Dahlst.</t>
  </si>
  <si>
    <t>Hieracium lepidulum</t>
  </si>
  <si>
    <t>tussock hawkweed</t>
  </si>
  <si>
    <t>flowering stems up to 75 cm tall</t>
  </si>
  <si>
    <t>NZ Flora Online: alpine, bank, cliff, dry, forest, forest edge, grassland, gravel, gully, hill, loam, margin, moist, montane, open, pasture, ridge, riparian, river terrace, riverbed, roadside, rock outcrop, sand, scree, shaded, sheltered, shrubland, silt, slope, stone, terrace, track, tussockland, wasteland; NZPCN: Grassland, roadsides, riverbanks, riverbeds and gold tailings, beech forest, scrub, pine forest</t>
  </si>
  <si>
    <t>Miller et al. 2015; French 2021</t>
  </si>
  <si>
    <t>Water dispersal along creeks may be important (Miller et al 2015)</t>
  </si>
  <si>
    <t>seed dispersed by wind (French 2021)</t>
  </si>
  <si>
    <t>Holcus lanatus L.</t>
  </si>
  <si>
    <t>Holcus lanatus</t>
  </si>
  <si>
    <t>Yorkshire fog</t>
  </si>
  <si>
    <t>NZ Flora Online:  alpine, bank, clay, coast, dry, forest, forest edge, grassland, gravel, lowland, margin, moist, open, pasture, peat, riverbed, roadside, rock outcrop, sand, shrubland, silt, slope, track, tussockland, wasteland; NZPCN: A wide range of disturbed wet and dry sites, often in fens</t>
  </si>
  <si>
    <t>hairs, buoyant seeds</t>
  </si>
  <si>
    <t>Ridley 1930; McIntyre et al. 1995; van den Broek et al. 2005; Albert et al. 2015; Mouissie et al. 2005; Flaherty et al. 2018</t>
  </si>
  <si>
    <t>Wind; Diaspore is blown by wind; Method not stated; (Ridley, 1930); Also dispersed by animals. Diaspore=caryopsis+glume. The diaspore is hairy or has hair-like processes. Hairs also serve to attach the diaspore to the fur of animals. Experiments show that seeds are moderately buoyant (van den Broek et al. 2005).  seeds are dispersed by deer internally (sometimes) and attached to fur and hooves (sometimes; Albert et al. 2015). Seeds attached to experimental sheep dummy but not to cattle dummy (Mouissie et al. 2005). Seeds germinated from white-tailed deer faeces (Flaherty et al. 2018); Seeds dispersed attached to cattle, donkey and horse fur, unspecialised (Couvreur et al. 2004); undefined seed dispersal morphology (McIntyre et al. 1995)</t>
  </si>
  <si>
    <t>Homalanthus populifolius Graham</t>
  </si>
  <si>
    <t>Homalanthus populifolius</t>
  </si>
  <si>
    <t>Queensland poplar</t>
  </si>
  <si>
    <t>green fruits, shrub or small tree up to 5 m high</t>
  </si>
  <si>
    <t>NZ Flora Online: bank, clay, coast, dry, loam, lowland, margin, open, pasture, roadside, sand, shaded, sheltered, shrubland, slope, stone, terrace, wasteland</t>
  </si>
  <si>
    <t>Innis 1989; Wikipedia, accessed 22 Nov 2012; Berg 1975</t>
  </si>
  <si>
    <t>Bird dispersed (Lisa Forester 1996). Other methods of movement include gravity, water and machinery especially roadside mowers (Tony McCluggage pers. comm.).</t>
  </si>
  <si>
    <t>Dispersed by pigeons in Australia (Innis 1989). The fruit is eaten by a variety of birds, including Brown Cuckoo Dove, Silvereye and Lewin's Honeyeater (Wikipedia). Ant dispersal based on morphology (Berg 1975)</t>
  </si>
  <si>
    <t>Hydrangea macrophylla (Thunb.) Ser.</t>
  </si>
  <si>
    <t>Hydrangea macrophylla</t>
  </si>
  <si>
    <t>hydrangea</t>
  </si>
  <si>
    <t>height from NZPCN as NZ Flora unclear</t>
  </si>
  <si>
    <t>NZ Flora Online: bank, clay, coast, dry, loam, lowland, margin, open, ridge, roadside, sand, shaded, sheltered, shrubland, slope, stone, terrace, track, wasteland; NZPCN: Persistent around old homesteads, near water and on forest margins.</t>
  </si>
  <si>
    <t>dispersed by people &amp; gravity (NZPCN)</t>
  </si>
  <si>
    <t>Hypericum androsaemum L.</t>
  </si>
  <si>
    <t>Hypericum androsaemum</t>
  </si>
  <si>
    <t>tutsan</t>
  </si>
  <si>
    <t>Shrub, not rhizomatous, up to 1.5 m high</t>
  </si>
  <si>
    <t>NZ Flora Online: bank, cliff, coast, forest, forest edge, gorge, gravel, gully, hill, lake margin, lowland, margin, moist, open, pasture, riparian, roadside, rock outcrop, sand, shaded, shrubland, slope, stone, terrace, track, wasteland. NZPCN: A plant found in cool damp situations. Forest communities are invaded under light shade. A plant that grows in higher rainfall areas. Prefers full light or light shade. A plant of forest margins in North and South Island (Hilgendorf 1926). The plant grows in rocklands and steep banks. The plant is prevalent in unintensively farmed land, wasteland and road verges. The plant grows in forest margins, scrub and other secondary growth, open forest, waste places and garden surrounds. A plant of low and disturbed forest and open areas. Forest communities which have a high light intensity as well as some alluvial plant communities (Fromont and King, 1992).</t>
  </si>
  <si>
    <t>berry-like capsule</t>
  </si>
  <si>
    <t>Fromont &amp; King 1992; Burrows 1995</t>
  </si>
  <si>
    <t xml:space="preserve">bird dispersed (Burrows 1995); presumably dispersed by birds (Webb 1988). Unknown if birds spread seeds but it is suspected (Fromont &amp; King 1992). Dust seeds, lacks structures promoting active dispersal (Esler 1988). </t>
  </si>
  <si>
    <t>Hypericum perforatum L.</t>
  </si>
  <si>
    <t>Hypericum perforatum</t>
  </si>
  <si>
    <t>St John's wort</t>
  </si>
  <si>
    <t>capsules split when mature</t>
  </si>
  <si>
    <t>NZ Flora Online: bank, clay, coast, dry, flat , grassland, gravel, hill, lake margin, margin, moist, open, pasture, riparian, roadside, rock outcrop, sand, shrubland, slope, terrace, track, wasteland; NZPCN: Disturbed short tussockland, herbfield, bare land</t>
  </si>
  <si>
    <t>NZPCN; Kew SID;  Couvreur et al. 2004; Albert et al. 2015</t>
  </si>
  <si>
    <t>NZPCN: Seeds dispersed via wind (minor), possibly livestock. Rhizomes via soil and water movement.</t>
  </si>
  <si>
    <t>Combination: wind+animal; Method not stated; Also dispersed by water and via vegetative spread. Diaspore=seed (Rutledge &amp; McLendon, sine anno, cited in Kew SID). Seeds are dispersed by deer internally (sometimes) and on fur (sometimes; Albert et al. 2015). Seeds dispersed attached to cattle and horse fur, wind-dispersed seed (seeds small and shed from a capsule above surrounding vegetation) (Couvreur et al. 2004)</t>
  </si>
  <si>
    <t>Ilex aquifolium L.</t>
  </si>
  <si>
    <t>Ilex aquifolium</t>
  </si>
  <si>
    <t>holly</t>
  </si>
  <si>
    <t>shrub or small tree up to c. 12 m high</t>
  </si>
  <si>
    <t>NZ Flora Online: bank, coast, dry, flat , forest, forest edge, hill, log, lowland, margin, open, roadside, sand, shaded, sheltered, stone, terrace</t>
  </si>
  <si>
    <t>Webb et al. 1988; Williams &amp; Karl 1996</t>
  </si>
  <si>
    <t>England: fruits eaten primarily  by blackbird &amp; also song thrush; Spain: fruits eaten by blackbird (Snow &amp; Snow 1988)</t>
  </si>
  <si>
    <t>Impatiens glandulifera Royle</t>
  </si>
  <si>
    <t>Impatiens glandulifera</t>
  </si>
  <si>
    <t>Himalayan balsam</t>
  </si>
  <si>
    <t>capsule opening explosively (Webb et al. 1988)</t>
  </si>
  <si>
    <t>NZPCN: Margins of water bodies, especially gullies, wet roadsides and forest margins.</t>
  </si>
  <si>
    <t>Webb et al. 1988; NZPCN</t>
  </si>
  <si>
    <t>capsule opening explosively (Webb et al. 1988); Seed dispersed by water and contaminated machinery, garden discards (NZPCN factsheet prepared by Paul Champion and Deborah Hofstra (NIWA)).</t>
  </si>
  <si>
    <t>Impatiens sodenii Engl. &amp; Warb. ex Engl.</t>
  </si>
  <si>
    <t>Impatiens sodenii</t>
  </si>
  <si>
    <t>shrub balsam</t>
  </si>
  <si>
    <t>Webb 1988; Esler 1988</t>
  </si>
  <si>
    <t>the succulent ovary walls curl inwards violently at maturity (Esler 1988).</t>
  </si>
  <si>
    <t>Imperata cylindrica (L.) P.Beauv.</t>
  </si>
  <si>
    <t>Imperata cylindrica</t>
  </si>
  <si>
    <t>lalanga bladey grass</t>
  </si>
  <si>
    <t>Ipomoea indica</t>
  </si>
  <si>
    <t>blue morning glory</t>
  </si>
  <si>
    <t>I. cuernavacensis: Unassisted; Seeds drop to the ground close to or beneath the parent plant; Direct or experimental observation; (Vazquez &amp; Givnish, 1998, cited in Kew SID)</t>
  </si>
  <si>
    <t>Iris foetidissima L.</t>
  </si>
  <si>
    <t>Iris foetidissima</t>
  </si>
  <si>
    <t>stinking iris</t>
  </si>
  <si>
    <t>herb, stems 60–80 cm high, infl. c. 80 cm long with the flowers usually amongst the leaves. Fruit diameter is for seed plus aril (Webb 1988; Snow &amp; Snow 1988); capsules split open to reveal around 30 seeds covered in fleshy arils (Snow &amp; Snow 1988).</t>
  </si>
  <si>
    <t>NZ Flora Online: bank, cliff, coast, dry, forest, lowland, pasture, roadside, rock outcrop, shaded, shrubland, silt, slope, terrace, track, wasteland</t>
  </si>
  <si>
    <t>arillate</t>
  </si>
  <si>
    <t>Webb et al. 1988; Atkinson 1997</t>
  </si>
  <si>
    <t>has no structures directly aiding active seed dispersal and large seeds &gt;10 mg (Esler 1988). Seeds are dispersed by birds (Webb et al. 1988; Atkinson 1997). Seed is dispersed by birds and water (Timmins &amp; MacKenzie 1995).</t>
  </si>
  <si>
    <t>Occasionally eaten by blackbird &amp; song thrush but fruits remain on plants for months. Stinking iris fruit is evidently relatively unpopular with fruit-eaters except when food is scarce (Snow &amp; Snow 1988).</t>
  </si>
  <si>
    <t>Iris pseudacorus L.</t>
  </si>
  <si>
    <t>Iris pseudacorus</t>
  </si>
  <si>
    <t>yellow flag</t>
  </si>
  <si>
    <t>NZ Flora Online: bank, coast, dry, forest, gully, lake margin, margin, moist, pasture, roadside, silt; NZPCN: Still and slow flowing water bodies, wetlands and reported from salt marshes overseas.</t>
  </si>
  <si>
    <t>buoyant seed, hard seed coat, gas space inside seed</t>
  </si>
  <si>
    <t>NZPCN; Coops &amp; van der Velde 1995; van den Broek et al. 2005; Ecological Flora of the Bristish Isles</t>
  </si>
  <si>
    <t>Seeds and rhizome fragments spread by water and contaminated machinery, and deliberate planting (NZPCN Factsheet prepared by Paul Champion and Deborah Hofstra (NIWA)).</t>
  </si>
  <si>
    <t>experiment show seeds are highly buoyant (van den Broek et al. 2005); seeds can float for 7 months on a calm surface (Coops &amp; van der Velde 1995)</t>
  </si>
  <si>
    <t>Jacobaea vulgaris Gaertn.</t>
  </si>
  <si>
    <t>Jacobaea vulgaris</t>
  </si>
  <si>
    <t>Senecio jacobaea</t>
  </si>
  <si>
    <t>ragwort</t>
  </si>
  <si>
    <t>seeds from disc florets have pappus (for wind dispersal) and trichomes (possibly for animal dispersal), while those from ray florets have neither (Wardle 1987)</t>
  </si>
  <si>
    <t>NZ Flora Online: bank, coast, dry, forest, forest edge, gap, grassland, gravel, hill, log, lowland, margin, moist, open, pasture, peat, ridge, riparian, river terrace, riverbed, roadside, sand, shaded, slope, stone, terrace, track, wasteland; NZPCN: Especially abundant in areas of higher rainfall (Webb et al.,1988). Plant of open ground and light gaps: wherever there is sufficient bare ground for seeds to germinate and establish. Found mostly in open forests, riverbeds, swamps and pastures. Grows on coastal slopes and along tracks (West, 1996).</t>
  </si>
  <si>
    <t>pappus, none, trichomes</t>
  </si>
  <si>
    <t>Most seeds dispersed downwind of the prevailing north-easterly and within a few metres, with rare distances of up to 36.6m</t>
  </si>
  <si>
    <r>
      <t xml:space="preserve">West 1996; Wardle 1987 , D. A., </t>
    </r>
    <r>
      <rPr>
        <i/>
        <sz val="11"/>
        <rFont val="Calibri"/>
        <family val="2"/>
        <scheme val="minor"/>
      </rPr>
      <t>New Zealand J. Ecol. 10</t>
    </r>
    <r>
      <rPr>
        <sz val="11"/>
        <rFont val="Calibri"/>
        <family val="2"/>
        <scheme val="minor"/>
      </rPr>
      <t>: 67-76 (1987)); NZPCN</t>
    </r>
  </si>
  <si>
    <t>Seed dispersal of seeds from disc florest by wind but those from ray florest unspecialised, dispersal by attachment but not internally (Wardle 1987); Dispersal of seed via water, animals, vehicles, clothing, hay, chaff (NZPCN). Numerous small seeds are dispersed widely by the wind (West,1996).</t>
  </si>
  <si>
    <t>Jasminum polyanthum Franch.</t>
  </si>
  <si>
    <t>Jasminum polyanthum</t>
  </si>
  <si>
    <t>jasmine</t>
  </si>
  <si>
    <r>
      <t>Jasminum</t>
    </r>
    <r>
      <rPr>
        <sz val="11"/>
        <rFont val="Calibri"/>
        <family val="2"/>
        <scheme val="minor"/>
      </rPr>
      <t xml:space="preserve"> spp. verified as vertebrate-dispersed (Meisenburg &amp; Fox 2002)</t>
    </r>
  </si>
  <si>
    <t>Juglans ailantifolia</t>
  </si>
  <si>
    <t>Japanese walnut</t>
  </si>
  <si>
    <t>NZ Flora Online:  bank, coast, hill, open, pasture, riparian, river terrace, roadside, sand, shrubland, silt, stone, terrace, wasteland</t>
  </si>
  <si>
    <t>has no structures directly aiding active dispersal and large seeds (&gt;10 mg) (Esler 1988).</t>
  </si>
  <si>
    <t xml:space="preserve">squirrels &amp; wood mice disperse seeds via scatterhoarding in Japan (Tamura 2001); damaged seeds found in bear droppings (Koike et al. 2008). </t>
  </si>
  <si>
    <t>Juncus acutus L.</t>
  </si>
  <si>
    <t>Juncus acutus</t>
  </si>
  <si>
    <t>sharp rush</t>
  </si>
  <si>
    <t>rush</t>
  </si>
  <si>
    <t>NZ Flora Online: coast, dry, gravel, moist, open, roadside, sand, sheltered, silt; NZPCN: Wet and seasonally dry sandy areas</t>
  </si>
  <si>
    <t>sticky mucilage</t>
  </si>
  <si>
    <t>Esler 1988; Reynolds &amp; Cumming 2016</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</si>
  <si>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t>
    </r>
  </si>
  <si>
    <t>Juncus sp. dispersed by water birds via ectozoochory (Reynolds &amp; Cumming 2016); J. articulatus (Albert et al. 2015) and J. canadensis and J. effusus seeds germinated from white-tailed deer faeces (Flaherty et al. 2018)</t>
  </si>
  <si>
    <t>Seed dispersed by animals, water or contaminated machinery (NZPCN Factsheet prepared by Paul Champion and Deborah Hofstra (NIWA)).</t>
  </si>
  <si>
    <t>Juncus articulatus L.</t>
  </si>
  <si>
    <t>Juncus articulatus</t>
  </si>
  <si>
    <t>jointed rush</t>
  </si>
  <si>
    <t>NZ Flora Online: bank, clay, cliff, coast, flat, grassland, gravel, hill, lake margin, lowland, margin, moist, montane, open, pasture, peat, riverbed, roadside, rock outcrop, sand, silt, slope, stone, terrace, wetland; NZPCN: Margins of flowing and still water bodies, drains and wet pasture, sometimes submerged or floating.</t>
  </si>
  <si>
    <t>Esler 1988; Couvreur et al. 2004; Rosenthal 2006; Albert et al. 2015</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</si>
  <si>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Factsheet prepared by Paul Champion and Deborah Hofstra (NIWA)).</t>
    </r>
  </si>
  <si>
    <t>short distance wind dispersal; epichorous, mucilage adhesion (Rosenthal 2006); seeds are dispersed by deer internally (sometimes; Albert et al. 2015). Seeds dispersed attached to cattle fur (Couvreur et al. 2004)</t>
  </si>
  <si>
    <t>Juncus bulbosus L.</t>
  </si>
  <si>
    <t>Juncus bulbosus</t>
  </si>
  <si>
    <t>bulbous rush</t>
  </si>
  <si>
    <t>NZPCN: Mostly peaty sites in wet pastures, water body margins, drains and wetlands, sometimes submerged; NZ Flora Online: alpine, fernland, gravel, margin, moist, open, ridge, roadside, sand, shrubland, silt, wetland</t>
  </si>
  <si>
    <t>Esler 1988; NZPCN</t>
  </si>
  <si>
    <t>Juncus squarrosus L.</t>
  </si>
  <si>
    <t>Juncus squarrosus</t>
  </si>
  <si>
    <t>heath rush</t>
  </si>
  <si>
    <t>NZ Flora Online: forest edge, gravel, hill, lake margin, moist, open, pasture, roadside, shrubland, slope, track; NZPCN: Peaty and other low nutrient (acid) sites.</t>
  </si>
  <si>
    <t>Esler 1988; NZPCN; Mouissie et al. 2005; Albert et al. 2015</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</si>
  <si>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Facthseet prepared by Paul Champion and Deborah Hofstra (NIWA)).</t>
    </r>
  </si>
  <si>
    <t>fruits with seeds attached to fleece of real sheep, also attached to experimental sheep dummy but not cattle dummy (Mouissie et al. 2005); seeds are dispersed by deer internally (sometimes; Albert et al. 2015).</t>
  </si>
  <si>
    <t>Kennedia rubicunda Vent.</t>
  </si>
  <si>
    <t>Kennedia rubicunda</t>
  </si>
  <si>
    <t>dusky coral pea</t>
  </si>
  <si>
    <t>seed strophiolate (with hard aril-like appendage) (Webb et al. 1988), climbing herb</t>
  </si>
  <si>
    <t>NZ Flora Online: bank, dry. NZPCN: In sun and semi-shade on sandstone soils.</t>
  </si>
  <si>
    <t>explosively dehiscent pod, arillate seed</t>
  </si>
  <si>
    <t>Lagarosiphon major (Ridl.) Moss</t>
  </si>
  <si>
    <t>Lagarosiphon major</t>
  </si>
  <si>
    <t>Does not produce seeds (Healy &amp; Edgar 1980); dioecious species with only one sex present in NZ (Esler 1988).</t>
  </si>
  <si>
    <t>Lagunaria patersonia</t>
  </si>
  <si>
    <t>norfolk island hibiscus</t>
  </si>
  <si>
    <t>not in Flora; NZPCN: Mainly spread by inappropriate coastal plantings, careless discard of garden clippings and down water courses near which it has been planted. The seeds are enclosed in somewhat buoyant pods.</t>
  </si>
  <si>
    <t>buoyant pod</t>
  </si>
  <si>
    <t>Mainly spread by inappropriate coastal plantings, careless discard of garden clippings and down water courses near which it has been planted. The seeds are enclosed in somewhat buoyant pods NZPCN).</t>
  </si>
  <si>
    <t>Lamium galeobdolon (L.) L.</t>
  </si>
  <si>
    <t>Lamium galeobdolon</t>
  </si>
  <si>
    <t>Galeobdolon luteum</t>
  </si>
  <si>
    <t>aluminium plant</t>
  </si>
  <si>
    <t>Lantana camara L.</t>
  </si>
  <si>
    <t>Lantana camara</t>
  </si>
  <si>
    <t>lantana</t>
  </si>
  <si>
    <t>shrub;  stems upright to spreading, or almost scrambling to  c.  2–(3) m high</t>
  </si>
  <si>
    <t>NZ Flora Online: bank, clay, coast, dry, grassland, gully, hill, lava, lowland, margin, open, pasture, roadside, sand, shaded, sheltered, shrubland, slope, stone, track, wasteland</t>
  </si>
  <si>
    <t>Webb et al. 1988; Fromont &amp; King 1992; Cronk &amp; Fuller 1995; Meisenburg &amp; Fox 2002; Green 2015</t>
  </si>
  <si>
    <t>Bird dispersed, notably by waxeyes (Fromont &amp; King 1992</t>
  </si>
  <si>
    <r>
      <t xml:space="preserve">particularly well dispersed by myna, </t>
    </r>
    <r>
      <rPr>
        <i/>
        <sz val="11"/>
        <rFont val="Calibri"/>
        <family val="2"/>
        <scheme val="minor"/>
      </rPr>
      <t>Acridotheres tristis</t>
    </r>
    <r>
      <rPr>
        <sz val="11"/>
        <rFont val="Calibri"/>
        <family val="2"/>
        <scheme val="minor"/>
      </rPr>
      <t xml:space="preserve"> (Cronk &amp; Fuller 1995); vertebrates observed consuming fruits (Meisenburg &amp; Fox 2002); intact seeds found in heron faeces predating lizards (secondary dispersal; Green 2015)</t>
    </r>
  </si>
  <si>
    <t>Larix decidua Mill.</t>
  </si>
  <si>
    <t>Larix decidua</t>
  </si>
  <si>
    <t>European larch</t>
  </si>
  <si>
    <t>small or medium sized tree; Seed with large, broad, asymmetric wing</t>
  </si>
  <si>
    <t>NZ Flora Online: alpine, bank, margin, open, pasture, ridge, roadside, slope; NZPCN: A plant of montane and subalpine habitats and sites of low fertility (Timmins &amp; MacKenzie 1995). A plant of tussockland (Timmins &amp; MacKenzie 1995).</t>
  </si>
  <si>
    <t>Timmins &amp; Mackenzie 1995</t>
  </si>
  <si>
    <t>Wind; Diaspore is blown by wind; Method not stated; (Young &amp; Young, 1992); Diaspore=seed. The diaspore has wings or wing-like features.</t>
  </si>
  <si>
    <t>Lathyrus latifolius L.</t>
  </si>
  <si>
    <t>Lathyrus latifolius</t>
  </si>
  <si>
    <t>everlasting pea</t>
  </si>
  <si>
    <t>scrambling</t>
  </si>
  <si>
    <t>L. sp. Dispersal prevented; Seeds are produced below ground level; Direct or experimental observation; (van Rheede van Oudtshoorn &amp; van Rooyen, 1999); The species is amphicarpic, producing some (but not all) diaspores below ground. L. palustrus: no dispersal adaptations (Rosenthal 2006).</t>
  </si>
  <si>
    <t>dispersal based on seed morphology &amp; species in same genus</t>
  </si>
  <si>
    <t>Lathyrus tingitanus L.</t>
  </si>
  <si>
    <t>Lathyrus tingitanus</t>
  </si>
  <si>
    <t>Tangier pea</t>
  </si>
  <si>
    <t>Laurus nobilis L.</t>
  </si>
  <si>
    <t>Laurus nobilis</t>
  </si>
  <si>
    <t>bay</t>
  </si>
  <si>
    <t>Large shrub or small tree to  c. 7 m</t>
  </si>
  <si>
    <t>NZ Flora Online: clay, cliff, coast, dry, gravel, gully, hill, loam, lowland, margin, open, roadside, rock outcrop, sand, shaded, sheltered, silt, stone, terrace, track, wasteland. NZPCN: intact bush, waste land and scrub</t>
  </si>
  <si>
    <t>Dispersed by birds and people (NZPCN)</t>
  </si>
  <si>
    <t>Leptospermum laevigatum</t>
  </si>
  <si>
    <t>Victorian tea tree</t>
  </si>
  <si>
    <t>shrub or small tree 1-2 (-7) m high, fertile seeds with lamellate wings</t>
  </si>
  <si>
    <t>Burrell 1981</t>
  </si>
  <si>
    <t>the seed is wind dispersed (Burrell 1981)</t>
  </si>
  <si>
    <t>Leucanthemum vulgare Lam.</t>
  </si>
  <si>
    <t>Leucanthemum vulgare</t>
  </si>
  <si>
    <t>oxeye daisy</t>
  </si>
  <si>
    <t>achenes of disc florets pappus absent, achenes of ray florets sometimes with irregular pappus c. 0.3 mm long</t>
  </si>
  <si>
    <t>few seeds dispersed more than 0.6m (Clements et al. 2004 &amp; references therein)</t>
  </si>
  <si>
    <t>McIntyre et al. 1995; Rosenthal 2006; Albert et al. 2015; Green 2015; Clements et al. 20024; McDougall et al. 2018</t>
  </si>
  <si>
    <t>No dispersal adaptations (Rosenthal 2006); seeds are dispersed by deer internally (sometimes; Albert et al. 2015). Viable seeds germinated from gull faeces (Green 2015); seeds viable after passage through farm animals including cattle and horses, seeds attached to sheeps fleece on rare occasions (Clements et al. 2004); seeds attached to animal (kangaroo &amp; fox) fur in experiment (McDougall et al. 2018); undefined seed dispersal morphology (McIntyre et al. 1995)</t>
  </si>
  <si>
    <t>Leycesteria formosa Wall.</t>
  </si>
  <si>
    <t>Leycesteria formosa</t>
  </si>
  <si>
    <t>Himalayan honeysuckle</t>
  </si>
  <si>
    <t>Shrub to 2–(3) m high</t>
  </si>
  <si>
    <t>NZ Flora Online: bank, clay, cliff, dry, forest, forest edge, gap, gully, hill, lowland, margin, moist, open, pasture, riparian, roadside, rock outcrop, sand, scrubland, sheltered, shrubland, silt, slope, stone, track, unstable/eroded, wasteland. NZPCN: A plant of coastal and lowland habitats (Timmins &amp; MacKenzie 1995). The plant occurs in streams and favours damper habitats (Veitch 1995; Department of Conservation 1996). A plant of streams, shrublands, light gaps in forests (such as windfall gaps), roadsides, exotic plantations, farm hedges and wasteland habitats (Veitch 1995; Department of Conservation 1996). A plant of scrub and forest margin, shrubland and riverbed communities (Timmins &amp; MacKenzie 1995).</t>
  </si>
  <si>
    <t>Webb et al. 1988; Williams &amp; Karl 1996; Atkinson 1997; Spurr et al. 2011</t>
  </si>
  <si>
    <t>bird-dispersed (Atkinson 1997); bellbirds eat fruits (Spurr et al. 2011)</t>
  </si>
  <si>
    <t>Leymus racemosus (Lam.) Tzvelev</t>
  </si>
  <si>
    <t>Leymus racemosus</t>
  </si>
  <si>
    <t>Elymus racemosus</t>
  </si>
  <si>
    <t>Siberian lyme grass</t>
  </si>
  <si>
    <t>inflorescence is up to 1.6 m long, with a stiff erect spike</t>
  </si>
  <si>
    <t>NZ Flora Online:  bank, coast, hill, pasture, roadside, sand, wasteland; NZPCN: coastal dunes, foreshore, sandy places and waste land</t>
  </si>
  <si>
    <t>L. triticoides: Dispersal aids: none (RBG Kew, Wakehurst Place, Kew SID)</t>
  </si>
  <si>
    <t>Ligustrum lucidum W.T.Aiton</t>
  </si>
  <si>
    <t>Ligustrum lucidum</t>
  </si>
  <si>
    <t>tree privet</t>
  </si>
  <si>
    <t>small or medium-sized, evergreen tree to  c. 10 m high (taller in cultivation), sometimes a dense shrub</t>
  </si>
  <si>
    <t>NZ Flora Online: clay, flat , gap, gully, hill, margin, open, roadside, sand, scrubland, sheltered, slope, stone, wasteland. NZPCN: A plant of coastal and lowland habitats. The plant occurs in sites of low-high fertility. A plant of scrub and forest margins, roadsides, fencelines and open forest communities. A plant of forest, lowland and coastal, forest fragments, shrublands, roadsides, farm hedges, wastelands, domestic garden sites. The plant has naturalised in waste places, margins of remnant forest stands, coastal cliffs and gardens.</t>
  </si>
  <si>
    <t>Atkinson 1997; Timmins &amp; Mackenzie 1995; Esler 1988; Fromont &amp; King 1992; Karan 2000; Bergquist 1987</t>
  </si>
  <si>
    <t>Birds, including pigeons, spread the seeds (Fromont &amp; King 1992). Bird-dispersed (Atkinson 1997)</t>
  </si>
  <si>
    <r>
      <t>Ligustrum</t>
    </r>
    <r>
      <rPr>
        <sz val="11"/>
        <rFont val="Calibri"/>
        <family val="2"/>
        <scheme val="minor"/>
      </rPr>
      <t xml:space="preserve"> spp. verified as vertebrate-dispersed (Meisenburg &amp; Fox 2002)</t>
    </r>
  </si>
  <si>
    <t>Ligustrum ovalifolium Hassk.</t>
  </si>
  <si>
    <t>Ligustrum ovalifolium</t>
  </si>
  <si>
    <t>privet</t>
  </si>
  <si>
    <t>Ligustrum sinense Lour.</t>
  </si>
  <si>
    <t>Ligustrum sinense</t>
  </si>
  <si>
    <t>Chinese privet</t>
  </si>
  <si>
    <t>Shrub or small tree to  c. 5 m high</t>
  </si>
  <si>
    <r>
      <t xml:space="preserve">NZ Flora Online: bank, coast, dry, forest, forest edge, gap, gravel, gully, hill, lowland, margin, open, river terrace, roadside, rock outcrop, sand, scrubland, sheltered, shrubland, slope, stone, terrace, wasteland. NZPCN: </t>
    </r>
    <r>
      <rPr>
        <b/>
        <sz val="11"/>
        <rFont val="Calibri"/>
        <family val="2"/>
        <scheme val="minor"/>
      </rPr>
      <t>A plant of coastal and lowland habitats (Timmins &amp; MacKenzie 1995). The plant occurs in sites of low-high fertility (Timmins &amp; MacKenzie 1995). A plant of scrub and forest margin, roadsides, fencelines, open forest communities (Timmins &amp; MacKenzie 1995). Communities in which the plant occurs are alluvial forest remnants, wasteplaces, shrublands, open stream systems and coastal areas (Department of Conservation 1996).</t>
    </r>
  </si>
  <si>
    <t>Timmins &amp; Mackenzie 1995; Williams &amp; Karl 1996; Atkinson 1997; Fromont &amp; King 1992; Esler 1988</t>
  </si>
  <si>
    <t>Dispersed by birds (Fromont &amp; King 1992; Atkinson 1997)</t>
  </si>
  <si>
    <t>Lilium formosanum</t>
  </si>
  <si>
    <t>formosan lily</t>
  </si>
  <si>
    <t xml:space="preserve">capsule not seen (Webb et al. 1988); photo of capsule by Trevor James on NZ Flora Online; "...pods had started to split from the top into 3. The
splitting sides remained connected by lace like webbing which allowed the wind to lift the light winged seeds out the open top and also water to drain out. The seeds spun like sycamore seeds when allowed to free fall." (Cameron 1989) </t>
  </si>
  <si>
    <t>NZ Flora Online:  bank, coast, dry, gap, lowland, open, pasture, roadside, rock outcrop, sand, sheltered, shrubland, slope, stone, track; NZPCN: Disturbed areas, Roadsides, Dunes</t>
  </si>
  <si>
    <t>Cameron 1989</t>
  </si>
  <si>
    <t>Lolium perenne L.</t>
  </si>
  <si>
    <t>Lolium perenne</t>
  </si>
  <si>
    <t>perennial ryegrass</t>
  </si>
  <si>
    <t>NZ Flora Online: alpine, bank, clay, cliff, coast, dry, forest, forest edge, grassland, gravel, hill, lake margin, lowland, margin, moist, open, pasture, ridge, roadside, rock outcrop, sand, shaded, shrubland, slope, stone, terrace, track, unstable/eroded, wasteland; NZPCN: Roadsides and tracks, pasture, river flats and banks, waste land and sand dunes, lowland to montane</t>
  </si>
  <si>
    <t>none, flattened seed</t>
  </si>
  <si>
    <t>Esler 1988; McIntyre et al. 1995; Couvreur et al. 2004; Rosenthal 2006; Albert et al. 2015</t>
  </si>
  <si>
    <t>wind: flattened seed; endochorous, hard seed coat, without pulp; dysochorous, lost food (Rosenthal 2006); seeds are dispersed internally by deer (sometimes; Albert et al. 2015). Seeds dispersed attached to cattle and horse fur, unspecialised dispersal (Couvreur et al. 2004); undefined seed dispersal morphology (McIntyre et al. 1995)</t>
  </si>
  <si>
    <t>Lonicera japonica Thunb.</t>
  </si>
  <si>
    <t>Lonicera japonica</t>
  </si>
  <si>
    <t>Japanese honeysuckle</t>
  </si>
  <si>
    <t>Vigorous climber</t>
  </si>
  <si>
    <t>NZ Flora Online: bank, coast, dry, flat , forest, forest edge, gravel, hill, lake margin, lava, loam, lowland, margin, open, pasture, roadside, sand, shaded, sheltered, shrubland, terrace, track, wasteland. NZPCN: A plant of coastal and lowland communities which grows in moderately fertile sites. The plant grows more vigorously in deeper valley soils (Department of Conservation 1996). Grows best on calcerous soils and moist forest soils; it rarely establishes on excessively drained and drought-prone sandy or stony soils (Williams and Timmins, 1997).
Occurs in scrub, forest margins, shrublands, disturbed or secondary forest, coastal areas, modified lowland forest, wetland margins, inshore islands, roadsides, farm hedges, wasteland, rough pasture, open forest, forest, wetlands, streambanks and around margins and in clearings (Webb et. al. 1988).</t>
  </si>
  <si>
    <t>Timmins &amp; Mackenzie 1995; Williams &amp; Karl 1996; Atkinson 1997; Esler 1988</t>
  </si>
  <si>
    <t>Has succulent fruits which are dispersed by birds quite effectively (Esler 1988). Bird-dispersed (Atkinson 1997).</t>
  </si>
  <si>
    <t>vertebrates observed consuming fruits (Meisenburg &amp; Fox 2002)</t>
  </si>
  <si>
    <t>Lophospermum erubescens D.Don ex Sweet</t>
  </si>
  <si>
    <t>Lophospermum erubescens</t>
  </si>
  <si>
    <t>creeping gloxinia</t>
  </si>
  <si>
    <t>climbing</t>
  </si>
  <si>
    <t>NZ Flora Online: coast, gully, lava, margin, shaded, sheltered; NZPCN: Forest margins and scrub. Recorded from almost bare rock on Rangitoto Is.</t>
  </si>
  <si>
    <t>dispersal by wind and people (NZPCN)</t>
  </si>
  <si>
    <t>Ludwigia peploides (Kunth) P.H.Raven</t>
  </si>
  <si>
    <t>Ludwigia peploides</t>
  </si>
  <si>
    <t>water primrose</t>
  </si>
  <si>
    <t>stems creeping or floating, rooting at nodes, with pneumatophores sometimes present below water</t>
  </si>
  <si>
    <t>NZ Flora Online:  coast, lake margin, lowland, margin, moist, open, pasture, peat, sand, sheltered, shrubland, silt, stone, wetland; NZPCN: Still and slow flowing shallow water bodies.</t>
  </si>
  <si>
    <t>Kehr et al 2014; Reynolds et al. 2015</t>
  </si>
  <si>
    <t>Ludwigia sp.: Water?; Assumption based upon diaspore morphology; (Foster et al., 1986, cited I Kew SID); one non-viable seed recovered from teal faeces (Reynolds et al. 2015); dispersed by hydrochory, viable seeds sampled from water (Kehr et al 2014)</t>
  </si>
  <si>
    <t>Lupinus arboreus Sims</t>
  </si>
  <si>
    <t>Lupinus arboreus</t>
  </si>
  <si>
    <t>tree lupin</t>
  </si>
  <si>
    <t>dehiscent pod</t>
  </si>
  <si>
    <t>NZ Flora Online: bank, clay, cliff, coast, dry, flat , forest, gravel, hill, lake margin, margin, open, pasture, ridge, riparian, riverbed, roadside, rock outcrop, sand, shrubland, slope, wasteland; NZPCN: Short tussockland, bare land, riverbeds, coastal sandy and well drained areas.</t>
  </si>
  <si>
    <t>Seed pod splits explosively to disperse seeds (NZPCN); no structures directly aiding active seed dispersal and large seeds &gt;10 mg (Esler 1988)</t>
  </si>
  <si>
    <t>L. angustifolius: Methods originating from parent plant or diaspore; Explosive mechanism; Direct or experimental observation; (Kozlowski, 1972, cited in Kew SID); Diaspore=seed. Legume dehisces explosively. L. nootkatensis: Water; Floating in freshwater currents; Assumption based upon the ecology/distribution of the species; (Ridley, 1930); The diaspore is buoyant.</t>
  </si>
  <si>
    <t>Lupinus polyphyllus Lindl.</t>
  </si>
  <si>
    <t>Lupinus polyphyllus</t>
  </si>
  <si>
    <t>russell lupin</t>
  </si>
  <si>
    <t>dehiscent pod; Infl. 15–60 cm long</t>
  </si>
  <si>
    <t>NZ Flora Online: bank, clay, coast, dry, gap, gravel, hill, loam, lowland, margin, open, pasture, riverbed, roadside, sand, shrubland, slope, track, wasteland; NZPCN: Establishes in waste places and lowland areas, streams, riverbeds and disturbed montane to subalpine areas.</t>
  </si>
  <si>
    <t>Explosive mechanism, humans, tourists, waterways (particularly in floods) (Timmins &amp; MacKenzie 1995).</t>
  </si>
  <si>
    <t>Lycium ferocissimum Miers</t>
  </si>
  <si>
    <t>Lycium ferocissimum</t>
  </si>
  <si>
    <t>boxthorn</t>
  </si>
  <si>
    <t>shrub, 1–6 m high</t>
  </si>
  <si>
    <t>NZ Flora Online: bank, cliff, coast, dry, forest, gravel, gully, hill, lowland, margin, open, pasture, ridge, roadside, rock outcrop, sand, sheltered, shrubland, slope, stone, terrace. NZPCN: A plant of lowland and coastal habitats. A plant of low fertility sites. The plant occurs in sites with stony ground and gravel, as well as ungrazed areas. A plant that occurs in sand dunes. Other sites that the plant occurs are shrublands, coastal scrub (Porteus 1993) and other coastal area as well as scrub on cliffs, banks and roadsides. A plant of coastal shrublands and disturbed waste places.</t>
  </si>
  <si>
    <t>Timmins &amp; Mackenzie 1995; Fromont &amp; King 1992; Atkinson 1997</t>
  </si>
  <si>
    <t>starlings main disperser of seeds to islands (Cox et al. 1967, cited in Atkinson 1997)</t>
  </si>
  <si>
    <t>Lycopus europaeus L.</t>
  </si>
  <si>
    <t>Lycopus europaeus</t>
  </si>
  <si>
    <t>gypsywort</t>
  </si>
  <si>
    <t>NZPCN: Lake and river margins, drains and swamps, often growing at the base of raupo and tall sedges.</t>
  </si>
  <si>
    <t>floating tissue, very light seeds, buoyant seed</t>
  </si>
  <si>
    <t>Couvreur et al. 2004; Soomers et al. 2013; van den Broek et al. 2005; Albert et al. 2015; NZPCN</t>
  </si>
  <si>
    <t>Seed dispersed by water, footwear or contaminated machinery (NZPCN Factsheet prepared by Paul Champion and Deborah Hofstra (NIWA))</t>
  </si>
  <si>
    <t>high terminal velocity (Soomers et al. 2013); experiments show seeds are highly buoyant (van den Broek et al. 2005); water - floating tissue, seed specific weight &lt;1; wind - flattened or winged seed (Rosenthal 2006). Seeds are dispersed by deer internally (sometimes; Albert et al. 2015). Seeds dispersed attached to cattle fur (Couvreur et al. 2004)</t>
  </si>
  <si>
    <t>Lythrum salicaria L.</t>
  </si>
  <si>
    <t>Lythrum salicaria</t>
  </si>
  <si>
    <t>purple loosestrife</t>
  </si>
  <si>
    <t>NZ Flora Online: 1-2m tall; Normally 60-100 cm tall, but can grow taller (NZPCN)</t>
  </si>
  <si>
    <t>NZ Flora Online: bank, clay, coast, flat , gap, lake margin, log, lowland, margin, moist, open, pasture, riparian, roadside, sand, shaded, silt, stone, terrace, wasteland, wetland; NZPCN: Lake margins and other wetlands.</t>
  </si>
  <si>
    <t>Kew SID; Couvreur et al. 2004; Albert et al. 2015; NZPCN</t>
  </si>
  <si>
    <t>Dispersed via seed or vegetative fragments. Water dispersed, also deliberate planting (NZPCN Factsheet prepared by Paul Champion and Deborah Hofstra (NIWA))</t>
  </si>
  <si>
    <t>Water; Floating in freshwater currents; Direct or experimental observation; Also dispersed by animals (livestock and wild animals), wind and via vegetative spread; Diaspore=seed; The diaspore is buoyant; Seed may also attach to clothing of humans (Rutledge &amp; McLendon, sine anno, cited in Kew SID).  Seeds are dispersed by deer internally (sometimes; Albert et al. 2015). Seeds dispersed attached to cattle, donkey and horse fur (Couvreur et al. 2004)</t>
  </si>
  <si>
    <t>Malva arborea (L.) Webb &amp; Berthel.</t>
  </si>
  <si>
    <t>Malva arborea</t>
  </si>
  <si>
    <t>Lavatera arborea</t>
  </si>
  <si>
    <t>tree mallow</t>
  </si>
  <si>
    <t>2–(3) m high</t>
  </si>
  <si>
    <t>NZPCN: Waste places, cultivated land, Coastal sites</t>
  </si>
  <si>
    <t>mericarp</t>
  </si>
  <si>
    <r>
      <t>Lavatera cretica</t>
    </r>
    <r>
      <rPr>
        <sz val="11"/>
        <rFont val="Calibri"/>
        <family val="2"/>
        <scheme val="minor"/>
      </rPr>
      <t xml:space="preserve"> has no structures directly aiding active seed dispersal and large seeds &gt;10 mg (Esler 1988); NZPCN: Spreads by seed, 6-8 seeds produced by each fruit. Dispersed by soil movement.</t>
    </r>
  </si>
  <si>
    <t>Maytenus boaria Molina</t>
  </si>
  <si>
    <t>Maytenus boaria</t>
  </si>
  <si>
    <t>Chilean mayten</t>
  </si>
  <si>
    <t>large shrub or small tree up to 10 m; arils red</t>
  </si>
  <si>
    <t>understorey of open native bush, among scrub and grasses (Heenan et al. 1999)</t>
  </si>
  <si>
    <t>bird dispersed (NZPCN)</t>
  </si>
  <si>
    <t>Medicago lupulina L.</t>
  </si>
  <si>
    <t>Medicago lupulina</t>
  </si>
  <si>
    <t>black medick</t>
  </si>
  <si>
    <t>mainly confined to stony, lime-containing soils, especially along rocky beaches, rivers and roads, and railway verges; riverbeds (Lammerink 1968)</t>
  </si>
  <si>
    <t>hard seed coat, indehiscent pod, buoyant pod, none</t>
  </si>
  <si>
    <t>Lammerink 1968; Dunbier 1972; Turkington &amp; Cavers 1979; Sidhu 1971, cited in Turkington &amp; Cavers 1979; Ridley 1930, cited in Turkington &amp; Cavers 1979; McIntyre et al. 1995; Bartuszevige &amp; Endress 2008; Albert et al. 2015</t>
  </si>
  <si>
    <t>seed is readily dispersed by sheep (Lammerink 1968); The seeds of M. lupulina are able to pass through the digestive tract of grazing animals and remain viable (Dunbier 1972)</t>
  </si>
  <si>
    <t>Seeds are dispersed internally by deer (sometimes) but not on deer fur or hooves (Albert et al. 2015); seeds can be dispersed great distances by birds and grazing animals (Sidhu 1971, cited in Turkington &amp; Cavers 1979); seeds can float in water for up to 5 days (Ridley 1930, cited in Turkington &amp; Cavers 1979); viable seeds dispersed in cattle faeces (Bartuszevige &amp; Endress 2008); undefined seed dispersal morphology (McIntyre et al. 1995)</t>
  </si>
  <si>
    <t>Melianthus major L.</t>
  </si>
  <si>
    <t>Melianthus major</t>
  </si>
  <si>
    <t>cape honey flower</t>
  </si>
  <si>
    <t>NZ Flora Online: clay, coast, dry, hill, lowland, open, pasture, ridge, sand, shaded, sheltered, shrubland, slope, stone, wasteland</t>
  </si>
  <si>
    <t>winged fruit</t>
  </si>
  <si>
    <t>Ridley 1930, cited in Kew SID; Fromont &amp; King 1992</t>
  </si>
  <si>
    <t>Fruit is rolled along ground surface by wind; the diaspore is buoyant (Ridley 1930, cited in Kew Seed Information Database)</t>
  </si>
  <si>
    <t>Miscanthus nepalensis</t>
  </si>
  <si>
    <t>Himalayan fairy grass</t>
  </si>
  <si>
    <t>NZ Flora Online:  bank, clay, coast, dry, forest, forest edge, hill, lowland, open, pasture, roadside, rock outcrop, shaded, slope, stone, wasteland; NZPCN: Waste areas, spreading from roadsides</t>
  </si>
  <si>
    <t>Ridley, 1930, cited in Kew Seed Information Database</t>
  </si>
  <si>
    <t>Wind; Diaspore is blown by wind; Method not stated; The seed is plumed (Ridley, 1930, cited in Kew Seed Information Database)</t>
  </si>
  <si>
    <t>Moraea flaccida</t>
  </si>
  <si>
    <t>Cape tulip</t>
  </si>
  <si>
    <t>25-60 cm tall</t>
  </si>
  <si>
    <t>NZPCN: Pasture and grassy waste land in scattered localities</t>
  </si>
  <si>
    <t>van Kleunen et al. 2008; NZPCN</t>
  </si>
  <si>
    <t>Seeds spread by wind, corms and seeds spread by water, and on mud spread by animals, implements and vehicles (NZPCN).</t>
  </si>
  <si>
    <t>van Kleunen et al. 2008: does not appear to have any specific dispersal syndromes</t>
  </si>
  <si>
    <t>Myoporum insulare R.Br.</t>
  </si>
  <si>
    <t>Myoporum insulare</t>
  </si>
  <si>
    <t>Australian ngaio</t>
  </si>
  <si>
    <t>Large shrub or small tree</t>
  </si>
  <si>
    <t>NZ Flora Online:  bank, cliff, coast, dry, hill, lava, margin, open, ridge, rock outcrop, sand, shaded, sheltered, shrubland, slope, terrace, wasteland. NZPCN: Coastal areas, sandy sites behind beaches</t>
  </si>
  <si>
    <t>Guja et al. 2010</t>
  </si>
  <si>
    <t>seeds survived exposure to seawater for 70 days with minimal or no impact on germination, c. 25% of seeds floated initially but % floating declined fairly quickly - maximum floating time was 10 days (Guja et al. 2010)</t>
  </si>
  <si>
    <t>Myricaria germanica</t>
  </si>
  <si>
    <t>false tamarisk</t>
  </si>
  <si>
    <t>not in flora (see Heenan et al. 1999); in NZ Flora Online: plumose hairs at seed tip, seed apex feather-like</t>
  </si>
  <si>
    <t>NZ Flora Online: bank, dry, gravel, hill, margin, moist, montane, open, riverbed, sand, slope, stone, terrace, track; NZPCN: Stony or muddy ground within braided river beds</t>
  </si>
  <si>
    <t>78.3% of seeds trapped within 10m of parent plants, some seeds trapped 50m from parent plants (Fink et al. 2017)</t>
  </si>
  <si>
    <t>NZPCN; Werth &amp; Scheidegger 2014; Fink et al. 2017; Fink et al. 2022</t>
  </si>
  <si>
    <t>Appears to have well developed dispersal techniques - probably by wind and possibly vegetatively; May spread downstream during floods (NZPCN).</t>
  </si>
  <si>
    <t>capable of both wind and water dispersal (Werth &amp; Scheidegger 2014; Fink et al. 2022; Fink et al. 2017)</t>
  </si>
  <si>
    <t>Myriophyllum aquaticum (Vell.) Verdc.</t>
  </si>
  <si>
    <t>Myriophyllum aquaticum</t>
  </si>
  <si>
    <t>parrot's feather</t>
  </si>
  <si>
    <t>Does not produce seeds (Webb et al. 1988)</t>
  </si>
  <si>
    <t>Nardus stricta L.</t>
  </si>
  <si>
    <t>Nardus stricta</t>
  </si>
  <si>
    <t>mat grass</t>
  </si>
  <si>
    <t>seed has long awns (Mouissie et al. 2005)</t>
  </si>
  <si>
    <t>NZ Flora Online: clay, flat , grassland, hill, moist, open, pasture, peat, slope, track; NZPCN: Acid and damp but not permanently wet soils, e.g. edges of tarns, ephemeral wetlands, subalpine bogs, roadside ditches, damp soil and depressions on semi-natural tussock or pastoral land.</t>
  </si>
  <si>
    <t>Mouissie et al. 2005; ETNZF</t>
  </si>
  <si>
    <t>seeds attached to fleece only on the head of sheep (low growing grass species), also attached to both sheep and cattle experimental dummies (Mouissie et al. 2005).</t>
  </si>
  <si>
    <t>Nassella neesiana</t>
  </si>
  <si>
    <t>Stipa neesiana</t>
  </si>
  <si>
    <t>Chilean needle grass</t>
  </si>
  <si>
    <t>awn at top of panicle seed, cleistogene (hidden seed) lacks awn; sharp seed callus is covered in backward pointing hairs that readily attach to animals, machinery and clothing, aiding dispersal; panicle seed mass = 6.7 mg, cleistogene mass = 2.1 mg (Gardener et al. 2005)</t>
  </si>
  <si>
    <t>NZ Flora Online: dry, lava, margin, open, pasture, roadside, slope</t>
  </si>
  <si>
    <t>awn, backward pointing callus hairs</t>
  </si>
  <si>
    <t>Gardener et al. 2003; Humphries &amp; Florentine 2021; NZPCN</t>
  </si>
  <si>
    <t>Restricted distribution due to a lack of wind dispersal; localised spread occurs through seed being transported by stock, in hay, on clothing, by machinery and in water (NZPCN)</t>
  </si>
  <si>
    <t>Seeds dispersed most effectively by attachment to sheep fleece, 25% of seeds picked up on sheep wool after grazing in paddock with this species was still present after 5 months; 2-5% of seeds fed to cattle passed intact and 30-50% were viable; most wind dispersed seeds were within 1m of parent and furthest seeds 2.8m away (Gardener et al. 2003); Humphries &amp; Florentine 2021: "Attachment to passing animals/human or machinery. Stem seeds are dispersed by disturbances."</t>
  </si>
  <si>
    <t>Nassella tenuissima (Trin.) Barkworth</t>
  </si>
  <si>
    <t>Nassella tenuissima</t>
  </si>
  <si>
    <t>Stipa tenuissima</t>
  </si>
  <si>
    <t>awn at top of seed</t>
  </si>
  <si>
    <t>NZ Flora Online: bank, forest, gravel, margin, open, roadside</t>
  </si>
  <si>
    <t>light seed</t>
  </si>
  <si>
    <t>Humphries &amp; Florentine 2021</t>
  </si>
  <si>
    <t>"The light seeds are dispersed most effectively by wind" (Humphries &amp; Florentine 2021).</t>
  </si>
  <si>
    <t>Nassella trichotoma (Nees) Hack. ex Arechav.</t>
  </si>
  <si>
    <t>Nassella trichotoma</t>
  </si>
  <si>
    <t>Stipa trichotoma</t>
  </si>
  <si>
    <t>nassella tussock</t>
  </si>
  <si>
    <t>NZ Flora Online:  bank, clay, cliff, coast, dry, flat , grassland, gravel, hill, lowland, open, pasture, river terrace, riverbed, roadside, rock outcrop, sand, silt, slope, stone, terrace, wasteland</t>
  </si>
  <si>
    <t>panicle detaches easily in wind, rough seed coat and hairs at base of seed</t>
  </si>
  <si>
    <t>wind dispersed up to 16 km</t>
  </si>
  <si>
    <t>Hilgendorf &amp; Calder 1967; Cronk &amp; Fuller 1995; Humphries &amp; Florentine 2021; Timmins &amp; Mackenzie 1995; NZPCN</t>
  </si>
  <si>
    <t>Reproduces by seed only. Dispersed by wind, up to 16km from the mother plant. The seeds, aided by the roughened seed coat and the tufts of hairs at the base, also cling to wool, bags, clothing etc. Seeds are also spread on machinery, in hay, mud and the droppings of animals (NZPCN); "flower heads break off easily when ripe and so the seeds are carried long distances, as is shown by the masses of flower heads that sometimes acumulate on fences and telegraph wires" (Hilgendorf &amp; Calder 1967).</t>
  </si>
  <si>
    <t xml:space="preserve">"Panicle detaches in the wind, which carries the panicle containing the seeds great distances" (Humphries &amp; Florentine 2021); wind dispersed (Cronk &amp; Fuller 1995); </t>
  </si>
  <si>
    <t>Nephrolepis cordifolia (L.) C.Presl</t>
  </si>
  <si>
    <t>Nephrolepis cordifolia</t>
  </si>
  <si>
    <t>tuber sword-fern</t>
  </si>
  <si>
    <t>Nymphaea alba L.</t>
  </si>
  <si>
    <t>Nymphaea alba</t>
  </si>
  <si>
    <t>water lily</t>
  </si>
  <si>
    <t>rarely reproduces by seed (NZPCN Factsheet prepared by Paul Champion and Deborah Hofstra (NIWA)); Nymphaea spp. Fruit berry-like, fleshy and spongy; submergent maturation, irregularly dehiscent. Seeds with inflated arils, numerous, dispersal hydrochory (NZ Flora Online).</t>
  </si>
  <si>
    <t>NZ Flora Online: coast, lowland, open, sand, sheltered, silt; NZPCN: Still and slow flowing water bodies, usually found growing in ornamental pools</t>
  </si>
  <si>
    <t>NZ Flora Online</t>
  </si>
  <si>
    <t>Nymphaea mexicana Zucc.</t>
  </si>
  <si>
    <t>Nymphaea mexicana</t>
  </si>
  <si>
    <t>mexican water lily</t>
  </si>
  <si>
    <t>Nymphaea spp. Fruit berry-like, fleshy and spongy; submergent maturation, irregularly dehiscent. Seeds with inflated arils, numerous, dispersal hydrochory (NZ Flora Online).</t>
  </si>
  <si>
    <t>NZ Flora Online: moist; NZPCN: Still and slow flowing water bodies</t>
  </si>
  <si>
    <t>NZ Flora Online; NZPCN</t>
  </si>
  <si>
    <t>Reproduces by rhizomes, tubers, and seed. Dispersed by water movement and deliberate plantings (NZPCN Factsheet prepared by Paul Champion and Deborah Hofstra (NIWA)).</t>
  </si>
  <si>
    <t>Ochna serrulata</t>
  </si>
  <si>
    <t>mickey mouse plant</t>
  </si>
  <si>
    <t>not in flora (see Heenan et al. 1999); shrub or small tree 1-3 m tall</t>
  </si>
  <si>
    <t>an urban weed of gardens and derelict building sites (Heenan et al. 1999). NZPCN: Understorey and edge of forest</t>
  </si>
  <si>
    <t>Heenan et al. 1999; NZPCN</t>
  </si>
  <si>
    <t>probably bird-dispersed as it has fleshy fruits (Heenan et al. 1999). Seeds spread by birds, water, gravity (NZPCN)</t>
  </si>
  <si>
    <t>Olea europaea L.</t>
  </si>
  <si>
    <t>Olea europaea</t>
  </si>
  <si>
    <t>Olea europaea subsp. cuspidata or O. europea subsp. africana</t>
  </si>
  <si>
    <t>African olive</t>
  </si>
  <si>
    <t>shrub or small tree to approx. 7m high. see also Heenan et al. 1999</t>
  </si>
  <si>
    <t>NZ Flora Online:  cliff, coast, dry, lowland, pasture, rock outcrop, sand, sheltered, shrubland, slope, stone. NZPCN: open coastal shrub and modified areas near native forest margins</t>
  </si>
  <si>
    <t>West 1996; Cameron 2017</t>
  </si>
  <si>
    <t>fruits eaten by tui, blackbird, starling, kereru, eastern rosella (green fruits) (Cameron 2017). kereru and tui observed feeding on fruits at Waitangi, July 2006 (Clayson Howell pers. comm. 2013)</t>
  </si>
  <si>
    <t>silvereyes in Australia recorded voiding intact seeds (Cuneo &amp; Leishman 2006, cited in Cameron 2017)</t>
  </si>
  <si>
    <t>Opuntia monacantha Haw.</t>
  </si>
  <si>
    <t>Opuntia monacantha</t>
  </si>
  <si>
    <t>O. vulgaris</t>
  </si>
  <si>
    <t>prickly pear</t>
  </si>
  <si>
    <t>Plants to 4–5 m high, tree-like</t>
  </si>
  <si>
    <t>NZPCN: Sandy beaches and coastal places</t>
  </si>
  <si>
    <t>fleshy, aril</t>
  </si>
  <si>
    <t>Humphries et al. 2022</t>
  </si>
  <si>
    <t>Opuntia spp. dispersed by a range of animals and ants, presence of arils attracts ants that bury seeds (Humphries et al. 2022). Opuntia ficus-indica dispersed by mammals (baboon) &amp; O. stricta mammal &amp; water dispersed (Cronk &amp; Fuller).</t>
  </si>
  <si>
    <t>Osmunda regalis L.</t>
  </si>
  <si>
    <t>Osmunda regalis</t>
  </si>
  <si>
    <t>royal fern</t>
  </si>
  <si>
    <t>Osteospermum moniliferum L.</t>
  </si>
  <si>
    <t>Osteospermum moniliferum</t>
  </si>
  <si>
    <t>Chrysanthemoides monilifera</t>
  </si>
  <si>
    <t>bone-seed</t>
  </si>
  <si>
    <t>shrub or small tree, up to  c. 2–(3) m tall</t>
  </si>
  <si>
    <t>NZ Flora Online: bank, clay, cliff, coast, dry, forest, gravel, hill, lava, lowland, margin, open, pasture, ridge, roadside, rock outcrop, sand, scrubland, shrubland, silt, slope, stone, terrace, wasteland. NZPCN: mainly coastal areas, coastal cliffs, inshore islands, dry shrublands, shrubland margins, consolidated sand dunes, gumlands, roadsides, quarries, wastelands, exotic plantations</t>
  </si>
  <si>
    <t>Webb et al. 1988; Fromont &amp; King 1992; Esler 1988</t>
  </si>
  <si>
    <t>The fleshy fruit is dispersed by birds (Webb et al. 1988); Fruit is eaten by possums (Fromont &amp; King 1992).</t>
  </si>
  <si>
    <t>bird dispersed (Cronk &amp; Fuller 1995)</t>
  </si>
  <si>
    <t>Paraserianthes lophantha (Willd.) I.C.Nielsen</t>
  </si>
  <si>
    <t>Paraserianthes lophantha</t>
  </si>
  <si>
    <t>Acacia lophantha</t>
  </si>
  <si>
    <t>brush wattle</t>
  </si>
  <si>
    <t>shrub to small tree, 2-8m tall.</t>
  </si>
  <si>
    <t>NZ Flora Onilne: bank, clay, coast, dry, gap, gravel, lowland, margin, ridge, roadside, rock outcrop, shaded, sheltered, shrubland, slope, unstable/eroded; NZPCN: Prefers disturbed open land, especially scrubland, riverbanks and coastal sites, but can persist in low forest for many years.</t>
  </si>
  <si>
    <t>Seeds are dispersed explosively, transported down water courses (NZPCN).</t>
  </si>
  <si>
    <t>Paspalum distichum L.</t>
  </si>
  <si>
    <t>Paspalum distichum</t>
  </si>
  <si>
    <t>paspalum</t>
  </si>
  <si>
    <t>inflorescence up to 45cm long (Flora); floating grass (NZPCN)</t>
  </si>
  <si>
    <t>NZ Flora Online:  bank, coast, flat , gravel, lake margin, lowland, margin, moist, open, pasture, peat, riparian, roadside, rock outcrop, sand, shaded, shrubland, silt, slope, stone, terrace, wasteland, wetland; NZPCN: Still and slow flowing water bodies and wetland margins.</t>
  </si>
  <si>
    <t>Esler 1988; Reynolds et al. 2015; NZPCN</t>
  </si>
  <si>
    <t>has no structures directly aiding active seed dispersal and medium-sized seeds (1-10 mg) (Esler 1988); NZPCN (Factsheet prepared by Paul Champion and Deborah Hofstra (NIWA)): Reproduces by seed and stem fragmentation. Seeds freely, seed viability unknown. Dispersed by water, livestock pelts and hooves (possibly seed in dung). Contaminated diggers and dumped vegetation.</t>
  </si>
  <si>
    <t>Non-viable seeds recovered from waterfowl (teal) faeces, species also included in diet of waterfowl (incl. mallards) (Reynolds et al. 2015); seeds in geese droppings germinated (Middleton et al. 1991); P. dilatatum: Animal; Diaspore is carried accidentally; Assumption based upon diaspore morphology; (McIntyre et al., 1995, cited in Kew SID); Paspalum sp. dispersed by water birds via ectozoochory (Reynolds &amp; Cumming 2016).</t>
  </si>
  <si>
    <t>Paspalum vaginatum Sw.</t>
  </si>
  <si>
    <t>Paspalum vaginatum</t>
  </si>
  <si>
    <t>saltwater paspalum</t>
  </si>
  <si>
    <t>inflorescence up to 30cm long; emergent aquatic</t>
  </si>
  <si>
    <t>NZ Flora Online:  bank, cliff, coast, dry, flat , lowland, margin, open, rock outcrop, sand, sheltered, shrubland, silt, stone; NZPCN: Found in brackish water around the margins of river mouths and estuaries</t>
  </si>
  <si>
    <t>Reynolds &amp; Cumming 2016</t>
  </si>
  <si>
    <r>
      <t xml:space="preserve">Paspalum dilatatum </t>
    </r>
    <r>
      <rPr>
        <sz val="11"/>
        <rFont val="Calibri"/>
        <family val="2"/>
        <scheme val="minor"/>
      </rPr>
      <t xml:space="preserve">and </t>
    </r>
    <r>
      <rPr>
        <i/>
        <sz val="11"/>
        <rFont val="Calibri"/>
        <family val="2"/>
        <scheme val="minor"/>
      </rPr>
      <t>P. distichum</t>
    </r>
    <r>
      <rPr>
        <sz val="11"/>
        <rFont val="Calibri"/>
        <family val="2"/>
        <scheme val="minor"/>
      </rPr>
      <t xml:space="preserve"> have no structures directly aiding active seed dispersal and medium-sized seeds (1-10 mg) (Esler 1988); dispersal by sand movement (NZPCN)</t>
    </r>
  </si>
  <si>
    <t>P. distichum seeds dispersed by geese (Middleton et al. 1991); P. dilatatum: Animal; Diaspore is carried accidentally; Assumption based upon diaspore morphology; (McIntyre et al., 1995, cited in Kew SID); Paspalum sp. dispersed by water birds via ectozoochory (Reynolds &amp; Cumming 2016).</t>
  </si>
  <si>
    <t>Passiflora caerulea L.</t>
  </si>
  <si>
    <t>Passiflora caerulea</t>
  </si>
  <si>
    <t>blue passion flower</t>
  </si>
  <si>
    <t>NZ Flora Online: bank, coast, flat , forest, gravel, margin, pasture, roadside, shrubland, slope, stone, wasteland. NZPCN: Coastal areas, lowlands, light gaps, prefers fertile soil (DOC, 1998). Forest margins and scrub, roadsides wastelands, farm and orchard hedges, domestic gardens</t>
  </si>
  <si>
    <t>Seed dispersed by blackbirds, fruit is also eaten by possums (NZPCN); not eaten by birds (Esler 1988).</t>
  </si>
  <si>
    <t>Passiflora edulis Sims</t>
  </si>
  <si>
    <t>Passiflora edulis</t>
  </si>
  <si>
    <t>black passionfruit</t>
  </si>
  <si>
    <t>NZ Flora Online:  roadside, slope. NZPCN: Forest margins and shrubland in frost-free areas</t>
  </si>
  <si>
    <r>
      <t xml:space="preserve">Tends to be spread by people but birds can also spread seeds to remote sites (NZPCN). fruit leathery when ripe, not eaten by birds (Esler 1988). But Esler (1988) also says soft-skinned </t>
    </r>
    <r>
      <rPr>
        <i/>
        <sz val="11"/>
        <rFont val="Calibri"/>
        <family val="2"/>
        <scheme val="minor"/>
      </rPr>
      <t>P. mollisima</t>
    </r>
    <r>
      <rPr>
        <sz val="11"/>
        <rFont val="Calibri"/>
        <family val="2"/>
        <scheme val="minor"/>
      </rPr>
      <t xml:space="preserve"> &amp; </t>
    </r>
    <r>
      <rPr>
        <i/>
        <sz val="11"/>
        <rFont val="Calibri"/>
        <family val="2"/>
        <scheme val="minor"/>
      </rPr>
      <t>P. caerulea</t>
    </r>
    <r>
      <rPr>
        <sz val="11"/>
        <rFont val="Calibri"/>
        <family val="2"/>
        <scheme val="minor"/>
      </rPr>
      <t xml:space="preserve"> fruits are ignored by birds, although there are records of birds eating both.</t>
    </r>
  </si>
  <si>
    <t>Passiflora mixta</t>
  </si>
  <si>
    <t>banana passionfruit</t>
  </si>
  <si>
    <t>vine, often high-climbing</t>
  </si>
  <si>
    <t>NZPCN: forest margins and shrubland</t>
  </si>
  <si>
    <t>Birds eat fruit and disperse seed (NZPCN)</t>
  </si>
  <si>
    <t>Passiflora pinnatistipula Cav.</t>
  </si>
  <si>
    <t>Passiflora pinnatistipula</t>
  </si>
  <si>
    <t>yellow passionfruit</t>
  </si>
  <si>
    <t>NZPCN: scrub and forest margins</t>
  </si>
  <si>
    <t>Williams &amp; Buxton 1995</t>
  </si>
  <si>
    <t>Passiflora rosea</t>
  </si>
  <si>
    <t>Passiflora xrosea</t>
  </si>
  <si>
    <t>banana passionfruit hybrid</t>
  </si>
  <si>
    <t>not NZ Flora Online; only very limited distribution on Banks Peninsula, fruit rarely produced - see Webb et al. 1988 and Heenan &amp; Sykes 2003</t>
  </si>
  <si>
    <t>Passiflora tarminiana Coppens &amp; V.E.Barney</t>
  </si>
  <si>
    <t>Passiflora tarminiana</t>
  </si>
  <si>
    <t>NZ Flora Online:  bank, clay, dry, hill, loam, lowland, margin, open, roadside, sand, shaded, sheltered, shrubland, slope, stone, track, unstable/eroded. NZPCN: Lowland and coastal shrubland, margins of remnant forest stands, light gaps, roadsides, wasteland, farm and orchard hedges windbreaks, plantations</t>
  </si>
  <si>
    <t>Fromont &amp; King 1992</t>
  </si>
  <si>
    <t>Spread primarily by blackbirds but also eaten by possums (Fromont &amp; King 1992).</t>
  </si>
  <si>
    <t>Passiflora tripartita</t>
  </si>
  <si>
    <t>P. mollisima, P. tripartita var. mollisima</t>
  </si>
  <si>
    <t>NZ Flora Online:  bank, clay, cliff, coast, dry, forest, gap, lowland, margin, open, roadside, rock outcrop, sand, shaded, sheltered, shrubland, slope, stone, terrace, wasteland. NZPCN: shrublands, forest margins, roadsides, wastelands, farm and orchard hedges and domestic gardens</t>
  </si>
  <si>
    <t>Williams &amp; Karl 1996; Williams &amp; Buxton 1995; Beavon 2007</t>
  </si>
  <si>
    <t xml:space="preserve">No fruits found with peck marks despite hundreds of fruits seen &amp; presence of birds in study area (Beavon 2007). Possums observed eating fruits and hundreds of viable seeds found in pig droppings, although a small percentage of seeds damaged (Beavon 2007). Possums defecated viable seeds but detroyed others (Beavon 2007). Rats consumed fruits but did not defecate any viable seeds (Beavon 2007). Only one mouse seen briefly eating fruit but unlikely to have any effect on seed dispersal (Beavon 2007). </t>
  </si>
  <si>
    <t>In Hawaii dispersed primarily by feral pigs, which provide a fertile medium for germination (Cronk &amp; Fuller 1995). Long distance dispersal by birds (Cronk &amp; Fuller 1995).</t>
  </si>
  <si>
    <t>Persicaria capitata (Buch.-Ham. ex D.Don) H.Gross</t>
  </si>
  <si>
    <t>Persicaria capitata</t>
  </si>
  <si>
    <t>Polygonum capitatum</t>
  </si>
  <si>
    <t>pink-headed knotweed</t>
  </si>
  <si>
    <t>mat-like</t>
  </si>
  <si>
    <t>NZ Flora Online: bank, cliff, coast, dry, gravel, hill, loam, lowland, open, pasture, river terrace, roadside, rock outcrop, sand, slope, terrace, wasteland; NZPCN: Favours dry banks in full sun (DoC, 1998). Problem only in open rocky areas; requires full light (Cameron 1996)</t>
  </si>
  <si>
    <t>P. capitatum seed has an elaiosome (Pemberton &amp; Irving 1990). P. lapathifolia (both endo- and ectozoochory) &amp; P. senagalensis (ectozoochory) dispersed by water birds, both wetland species (Reynolds &amp; Cumming 2016); P. pensylvanicum seeds germinated from white-tailed deer faeces (Flaherty et al. 2018)</t>
  </si>
  <si>
    <t>Phalaris arundinacea L.</t>
  </si>
  <si>
    <t>Phalaris arundinacea</t>
  </si>
  <si>
    <t>reed canary grass</t>
  </si>
  <si>
    <t>60-200cm</t>
  </si>
  <si>
    <t>NZPCN: Swamps. Including under shade of willows and open kahikatea forest, wet grassland, margins of water bodies, wet waste areas and roadsides.</t>
  </si>
  <si>
    <t>bristled fruit</t>
  </si>
  <si>
    <t>NZPCN; Coops &amp; van der Velde 1995; Couvreur et al. 2004; SID</t>
  </si>
  <si>
    <t>Seed dispersed by water, animals or contaminated machinery (NZPCN Factsheet prepared by Paul Champion and Deborah Hofstra (NIWA)).</t>
  </si>
  <si>
    <t>Water; Floating in freshwater currents; Direct or experimental observation; Also dispersed by wind. Diaspore=caryopsis+glume. The diaspore is buoyant (Ridley, 1930, cited in Kew SID). Bouyancy experiment showed seeds can float for 20-38 hours (50% and 90% of seeds, respectively) (Coops &amp; van der Velde 1995). Seeds dispersed attached to cattle fur (Couvreur et al. 2004)</t>
  </si>
  <si>
    <t>Phoenix canariensis H.Wildpret</t>
  </si>
  <si>
    <t>Phoenix canariensis</t>
  </si>
  <si>
    <t>phoenix palm</t>
  </si>
  <si>
    <t>up to 6 m tall</t>
  </si>
  <si>
    <t>NZ Flora Online: bank, coast, dry, roadside, sand, slope</t>
  </si>
  <si>
    <t>Williams 2006</t>
  </si>
  <si>
    <t>Blackbirds observed eating phoenix palm fruits in Auckland (J. Sullivan pers. comm., in Williams 2006)</t>
  </si>
  <si>
    <t>Phragmites karka</t>
  </si>
  <si>
    <t>Many authors include Phragmites karka in P. australis (NZPCN website); Arundo karka; Arundo vallatoria; Phragmites vallatorius</t>
  </si>
  <si>
    <t>common reed</t>
  </si>
  <si>
    <t>not in Flora; NZPCN website: many authors include P. karka in P. australis. Data in NZ Flora Online and Kew SID also taken from P. australis.</t>
  </si>
  <si>
    <t>NZPCN: estuaries and wet grassland</t>
  </si>
  <si>
    <t>P. australis: attachment, also water, wind (ETNZF)</t>
  </si>
  <si>
    <t>wind dispersed (Cook 1987, cited in Kew SID); P. australis: Combination: water+wind+animal; Method not stated; (Bouman et al., 2000, cited in Kew SID)</t>
  </si>
  <si>
    <t>Phyllostachys aurea</t>
  </si>
  <si>
    <t>walking stick bamboo</t>
  </si>
  <si>
    <t>Phytolacca icosandra L.</t>
  </si>
  <si>
    <t>Phytolacca icosandra</t>
  </si>
  <si>
    <t>inkweed</t>
  </si>
  <si>
    <t>subshrub to  c. 2 m tall; seed mass for P. octandra: 0.00479 g</t>
  </si>
  <si>
    <t>Flora: cutover scrub and forest, open habitats such as waste places, river beds, old pastures, neglected or abandoned fields and gardens</t>
  </si>
  <si>
    <t>Moncrieff 1928; Hilgendorf &amp; Calder 1967; Wotton 2002; Spurr et al. 2011</t>
  </si>
  <si>
    <t>Tui are "fond of berry of the inkweed, where may be seen in numbers" (Moncrieff 1928). Seeds occasionally found in common gecko droppings on Mana Island (Wotton 2002).  The seed is eaten by birds; silvereyes, pheasants and turkeys are particularly fond of it (Hilgendorf &amp; Calder 1967). Cattle and sheep also eat the berries and seeds are found in cattle droppings (Hilgendorf &amp; Calder 1967). Bellbirds eat fruit (Spurr et al. 2011).</t>
  </si>
  <si>
    <t>Pilosella officinarum Vaill.</t>
  </si>
  <si>
    <t>Pilosella officinarum</t>
  </si>
  <si>
    <t>Hieracium pilosella</t>
  </si>
  <si>
    <t>mouse-ear hawkweed</t>
  </si>
  <si>
    <t>flowering stems 5-10cm tall</t>
  </si>
  <si>
    <t>NZ Flora Online: alpine, bank, clay, cliff, coast, dry, flat , forest, grassland, gravel, gully, hill, loam, margin, moist, montane, open, pasture, ridge, riparian, river terrace, riverbed, roadside, rock outcrop, sand, scree, shaded, sheltered, shrubland, silt, slope, stone, terrace, track, tussockland, wasteland; NZPCN: A plant of lowland, montane and subalpine habitats. Grows in sites with low to moderate fertility but appears to prefer moderate fertility. Shrubland, tussockland, cliff, bluff, riverbed and herbfield communities.</t>
  </si>
  <si>
    <t>Timmins &amp; Mackenzie 1995; Atkinson 1997; Esler 1988; Groves 1996, cited in Kew Seed Information Database</t>
  </si>
  <si>
    <t>Wind dispersed (Esler 1988); Seed is dispersed by gravity and wind (NZPCN)</t>
  </si>
  <si>
    <t>Wind; Diaspore is blown by wind; Method not stated; Also dispersed via vegetative spread. Diaspore=achene. The seed has a pappus. (Groves 1996, cited in Kew Seed Information Database).</t>
  </si>
  <si>
    <t>king devil</t>
  </si>
  <si>
    <t>flowering stems 15-45cm tall</t>
  </si>
  <si>
    <t>Pinus contorta Douglas ex Loudon</t>
  </si>
  <si>
    <t>Pinus contorta</t>
  </si>
  <si>
    <t>contorta pine</t>
  </si>
  <si>
    <t>large shrub or small to medium sized tree; tree height from Wyse &amp; Hulme 2021</t>
  </si>
  <si>
    <t>NZ Flora Online: alpine, bank, dry, forest, grassland, hill, moist, montane, open, pasture, peat, ridge, roadside, rock outcrop, sand, silt, slope, terrace, tussockland; NZPCN: A plant of montane and subalpine habitats. The plant grows in sites with low fertility. A plant of tussocklands. Areas at risk from invasion by the plant are indigenous and introduced scrub, tussock grassland at medium to high altitude, pasture and open forest.</t>
  </si>
  <si>
    <t>Timmins &amp; Mackenzie 1995; Wyse &amp; Hulme 2021</t>
  </si>
  <si>
    <t>wind dispersed (Wyse &amp; Hulme 2021)</t>
  </si>
  <si>
    <t>Wind; Diaspore is blown by wind; Direct or experimental observation; (Farmer, 1997); Diaspore=seed. The diaspore has wings or wing-like features. Pinus sp. dispersed by water birds via ectozoochory (Reynolds &amp; Cumming 2016)</t>
  </si>
  <si>
    <t>Pinus halepensis Mill.</t>
  </si>
  <si>
    <t>Pinus halepensis</t>
  </si>
  <si>
    <t>aleppo pine</t>
  </si>
  <si>
    <t>tree height (18 m) from Wyse &amp; Hulme 2021</t>
  </si>
  <si>
    <t>NZ Flora Online: bank, clay, cliff, coast, dry, open, rock outcrop, sand, scrubland, slope, stone</t>
  </si>
  <si>
    <t>attachment?</t>
  </si>
  <si>
    <t>Wyse &amp; Hulme 2021; NZPCN; Reynolds &amp; Cumming 2016</t>
  </si>
  <si>
    <t>seed is dispersed by wind (Wyse &amp; Hulme 2021; NZPCN)</t>
  </si>
  <si>
    <t>Pinus sp. dispersed by water birds via ectozoochory (Reynolds &amp; Cumming 2016)</t>
  </si>
  <si>
    <t>Pinus mugo Turra</t>
  </si>
  <si>
    <t>Pinus mugo</t>
  </si>
  <si>
    <t>mountain pine</t>
  </si>
  <si>
    <t>small tree or multistemmed shrub; tree height from Wyse &amp; Hulme 2021</t>
  </si>
  <si>
    <t>Farmer 1997, cited in KEW SID; Wyse &amp; Hulme 2021; NZPCN</t>
  </si>
  <si>
    <t>wind dispersed (Wyse &amp; Hulme 2021; NZPCN)</t>
  </si>
  <si>
    <t>Wind; Diaspore is blown by wind; Direct or experimental observation; (Farmer, 1997, cited in Kew SID); Diaspore=seed. The diaspore has wings or wing-like features. Pinus sp. dispersed by water birds via ectozoochory (Reynolds &amp; Cumming 2016); secondary seed dispersal by birds (Mu ̈ller-Schneider 1986, cited in Julio Camarero et al. 2005)</t>
  </si>
  <si>
    <t>Pinus muricata D.Don</t>
  </si>
  <si>
    <t>Pinus muricata</t>
  </si>
  <si>
    <t>bishop pine</t>
  </si>
  <si>
    <t>small to medium-sized tree (Flora); medium-sized tree up to 25 m (NZPCN); tree height (22 m) from Wyse &amp; Hulme 2021</t>
  </si>
  <si>
    <t>NZ Flora Online:  bank, coast, hill, open, pasture, roadside, sand, shrubland, slope, track</t>
  </si>
  <si>
    <t>Ridley 1930, cited in KEW SID; NZPCN</t>
  </si>
  <si>
    <t>dispersed by wind (Wyse &amp; Hulme 2021; NZPCN)</t>
  </si>
  <si>
    <t>Seed is blown by wind (Ridley 1930, cited in KEW SID) and has wings or wing-like features (Kew Seed Information Database); Pinus sp. dispersed by water birds via ectozoochory (Reynolds &amp; Cumming 2016)</t>
  </si>
  <si>
    <t>Pinus nigra J.F.Arnold</t>
  </si>
  <si>
    <t>Pinus nigra</t>
  </si>
  <si>
    <t>black pine</t>
  </si>
  <si>
    <t>medium to large tree; tree height from Wyse &amp; Hulme 2021</t>
  </si>
  <si>
    <t>NZ Flora Online: alpine, clay, dry, gully, hill, lake margin, margin, open, ridge, roadside, rock outcrop, sand, shaded, sheltered, shrubland, slope, stone, terrace, track; NZPCN: Mainly shrubland and grassland</t>
  </si>
  <si>
    <t>Timmins &amp; Mackenzie 1995; Atkinson 1997; Wyse &amp; Hulme 2021; Kew SID</t>
  </si>
  <si>
    <t>P. nigra subsp. nigra: Wind; Diaspore is blown by wind; Direct or experimental observation; (Farmer, 1997, cited in Kew SID); Diaspore=seed. The diaspore has wings or wing-like features; Pinus sp. dispersed by water birds via ectozoochory (Reynolds &amp; Cumming 2016)</t>
  </si>
  <si>
    <t>Pinus patula</t>
  </si>
  <si>
    <t>patula pine</t>
  </si>
  <si>
    <t>small to medium tree (to c. 20m tall in cultivation); tree height (33 m) from Wyse &amp; Hulme 2021; partly serotinous (Cronk &amp; Fuller 1995)</t>
  </si>
  <si>
    <t>NZ Flora Online: bank, roadside</t>
  </si>
  <si>
    <t>Cronk &amp; Fuller 1995; Wyse &amp; Hulme 2021; NZPCN; Reynolds &amp; Cumming 2016</t>
  </si>
  <si>
    <t>wind dispersed (Cronk &amp; Fuller 1995); Pinus sp. dispersed by water birds via ectozoochory (Reynolds &amp; Cumming 2016)</t>
  </si>
  <si>
    <t>Pinus pinaster Aiton</t>
  </si>
  <si>
    <t>Pinus pinaster</t>
  </si>
  <si>
    <t>maritime pine</t>
  </si>
  <si>
    <t>NZ Flora Online: bank, cliff, coast, dry, fernland, hill, margin, open, ridge, roadside, rock outcrop, sand, shrubland, slope, stone, terrace, wasteland; NZPCN: A plant of coastal and lowland habitats (Timmins &amp; MacKenzie 1995). The plant grows in sites of low fertility (Timmins &amp; MacKenzie 1995). A plant of shrubland, tussockland, cliff, bluff and coastal communities (Timmins &amp; MacKenzie 1995).</t>
  </si>
  <si>
    <t>Timmins &amp; Mackenzie 1995; Atkinson 1997; Cronk &amp; Fuller 1995; Wyse &amp; Hulme 2021; Reynolds &amp; Cumming 2016</t>
  </si>
  <si>
    <t>Pinus ponderosa</t>
  </si>
  <si>
    <t>ponderosa pine</t>
  </si>
  <si>
    <t>medium to large tree (over 30m high in cultivation); tree height from Wyse &amp; Hulme 2021</t>
  </si>
  <si>
    <t>NZ Flora Online: gravel, margin, montane, open, pasture, ridge, roadside, rock outcrop, scrubland, sheltered, shrubland, slope, terrace</t>
  </si>
  <si>
    <t>Seed is blown by wind (Farmer 1997, cited in KEW SID) and has wings or wing-like features (Kew Seed Information Database); Pinus sp. dispersed by water birds via ectozoochory (Reynolds &amp; Cumming 2016)</t>
  </si>
  <si>
    <t>Pinus radiata D.Don</t>
  </si>
  <si>
    <t>Pinus radiata</t>
  </si>
  <si>
    <t>radiata pine</t>
  </si>
  <si>
    <t>medium to very large tree (Flora), 40-60 m in cultivation (NZPCN); tree height from Wyse &amp; Hulme 2021</t>
  </si>
  <si>
    <t>NZ Flora Online: alpine, bank, clay, coast, dry, fernland, hill, lowland, margin, open, pasture, ridge, roadside, rock outcrop, sand, shrubland, slope, stone, terrace, track, tussockland, wasteland; NZPCN: A plant of coastal and lowland habitats (Timmins &amp; MacKenzie 1995). A plant of low fertility sites (Timmins &amp; MacKenzie 1995). The plant occurs in scrub and forest margin, shrubland, short tussockland, sand dunes, cliffs and bluff communities (Timmins &amp; MacKenzie 1995).</t>
  </si>
  <si>
    <t>small, light, winged seeds easily dispersed long distances by wind (Cronk &amp; Fuller 1995 and refs therein); Wind; Diaspore is blown by wind; Direct or experimental observation; (Farmer, 1997); Diaspore=seed. The diaspore has wings or wing-like features; Pinus sp. dispersed by water birds via ectozoochory (Reynolds &amp; Cumming 2016)</t>
  </si>
  <si>
    <t>Pinus strobus L.</t>
  </si>
  <si>
    <t>Pinus strobus</t>
  </si>
  <si>
    <t>strobus pine</t>
  </si>
  <si>
    <t>small to large tree (Flora); Medium tree, reaching 50 m (NZPCN)</t>
  </si>
  <si>
    <t>NZ Flora Online: bank, pasture, roadside, shrubland</t>
  </si>
  <si>
    <t>Farmer 1997, cited in KEW SID; NZPCN</t>
  </si>
  <si>
    <t>wind dispersed (NZPCN)</t>
  </si>
  <si>
    <t>Wind; Diaspore is blown by wind; Direct or experimental observation; (Farmer, 1997, cited in Kew SID); Diaspore=seed. The diaspore has wings or wing-like features; Pinus sp. dispersed by water birds via ectozoochory (Reynolds &amp; Cumming 2016)</t>
  </si>
  <si>
    <t>Pinus sylvestris L.</t>
  </si>
  <si>
    <t>Pinus sylvestris</t>
  </si>
  <si>
    <t>Scots pine</t>
  </si>
  <si>
    <t>medium to large tree (Flora); Medium sized tree reaching about 35 m (NZPCN); tree height from Wyse &amp; Hulme 2021</t>
  </si>
  <si>
    <t>NZ Flora Online: bank, grassland, open, pasture, roadside, slope, terrace</t>
  </si>
  <si>
    <t>Farmer 1997, cited in KEW SID; Albert et al. 2015; Wyse &amp; Hulme 2021; NZPCN</t>
  </si>
  <si>
    <t>Wind; Diaspore is blown by wind; Direct or experimental observation; (Farmer, 1997, cited in Kew SID); Diaspore=seed. The diaspore has wings or wing-like features. Seeds dispersed by deer attached to fur (sometimes; Albert et al. 2015); Pinus sp. dispersed by water birds via ectozoochory (Reynolds &amp; Cumming 2016)</t>
  </si>
  <si>
    <t>Pinus uncinata Ramond ex DC.</t>
  </si>
  <si>
    <t>Pinus uncinata</t>
  </si>
  <si>
    <t>Swiss mountain pine</t>
  </si>
  <si>
    <t>Not in Flora or NZPCN website. Growth form and height from Julio Camarero et al. 2005; Is this Pinus mugo subsp. uncinata? Seed mass from Pinus mugo subsp. uncinata</t>
  </si>
  <si>
    <t>mean 27.2 m estimated from models (Camarero et al. 2005)</t>
  </si>
  <si>
    <t>Julio Camarero et al. 2005</t>
  </si>
  <si>
    <t>small, winged seeds primarily dispersed by wind (Julio Camarero et al. 2005)</t>
  </si>
  <si>
    <t>Pittosporum undulatum Vent.</t>
  </si>
  <si>
    <t>Pittosporum undulatum</t>
  </si>
  <si>
    <t>Australian daphne</t>
  </si>
  <si>
    <t>shrub or tree usu. 4-14m tall, seeds extremely viscid</t>
  </si>
  <si>
    <t>Webb et al. 1988: roadside scrub. NZ Flora Online: bank, roadside</t>
  </si>
  <si>
    <t>sticky seeds</t>
  </si>
  <si>
    <t>Webb et al. 1988; Mullet 2002</t>
  </si>
  <si>
    <t>likely dispersed by birds (Webb et al. 1988)</t>
  </si>
  <si>
    <t>dispersed by a wide range of bird species, brushtailed possums and rats in Australia (Mullett 2002)</t>
  </si>
  <si>
    <t>Plectranthus ciliatus E.Mey.</t>
  </si>
  <si>
    <t>Plectranthus ciliatus</t>
  </si>
  <si>
    <t>plectranthus</t>
  </si>
  <si>
    <t>herb or subshrub; inflorescence stalk up to 30cm long</t>
  </si>
  <si>
    <t>NZ Flora Online: bank, clay, coast, forest, forest edge, hill, lowland, margin, montane, open, pasture, roadside, sand, shaded, sheltered, shrubland, slope, stone, terrace, track, wasteland; NZPCN: A plant that grows in the shade (Forester pers. comm. 1996). Likes some shade and well-drained soils (Anon., 1997: Pestfacts 48, ARC). A plant of forested stream banks (Forester pers. comm. 1996). Shady areas in and around forest margins, plantations, hedges, disturbed or low forest (Webb et al., 1988).</t>
  </si>
  <si>
    <t>Spreads vegetatively by runners, seed are not adapted for bird, wind or water dispersal therefore are only a minor factor in its spread (NZPCN). Plectranthus ecklonii has no structures directly aiding active seed dispersal and medium-sized seeds (1-10 mg) (Esler 1988).</t>
  </si>
  <si>
    <t>P. monostachyus has no dispersal aids (Kew SID)</t>
  </si>
  <si>
    <t>Plectranthus ecklonii Benth.</t>
  </si>
  <si>
    <t>Plectranthus ecklonii</t>
  </si>
  <si>
    <t>blue spur flower</t>
  </si>
  <si>
    <t>erect shrub to nearly 3m high</t>
  </si>
  <si>
    <t>NZ Flora Online: bank, forest, gully</t>
  </si>
  <si>
    <t>has no structures directly aiding active seed dispersal and medium-sized seeds (1-10 mg) (Esler 1988); Mainly spreads vegetatively (Owen 1997, cited in NZPCN).</t>
  </si>
  <si>
    <t>Poa annua L.</t>
  </si>
  <si>
    <t>Poa annua</t>
  </si>
  <si>
    <t>annual poa; winter grass</t>
  </si>
  <si>
    <t>NZPCN: A weed of cultivated land and waste places</t>
  </si>
  <si>
    <t>McIntyre et al. 1995; Couvreur et al. 2004; Albert et al. 2015; Green 2015; Kew SID</t>
  </si>
  <si>
    <t>Seeds dispersed internally and on hooves of deer (Albert et al. 2015). Seeds dispersed attached to cattle and donkey fur, unspecialised dispersal (Couvreur et al. 2004). Malfasi et al. 2020: migratory birds could be the main potential vectors in natural long-distance dispersal events; caryopses are not typically wind-dispersed seeds and we consider this vector is unlikely here; Combination: wind+animal; Method not stated; (Rutledge &amp; McLendon, sine anno, Kew SID); Mammals (incl. bats)+birds.; Also dispersed by water. In mud on feet, or eaten. Also blown by wind. Viable seeds germinated from gull and Canada goose faeces (Green 2015). Unspecialised seed dispersal morphology (McIntyre et al. 1995)</t>
  </si>
  <si>
    <t>Polygala myrtifolia L.</t>
  </si>
  <si>
    <t>Polygala myrtifolia</t>
  </si>
  <si>
    <t>sweet pea shrub</t>
  </si>
  <si>
    <t>shrub up to 2m high, strophiolate seed (Webb et al. 1988)</t>
  </si>
  <si>
    <t>NZ Flora Online: bank, cliff, coast, dry, lowland, open, ridge, roadside, rock outcrop, sand, scrubland, shrubland, stone, terrace; NZPCN: Coastal areas, forest margins, open land, islands, inland scrub</t>
  </si>
  <si>
    <t>Seeds are dispersed by wind and sometimes water; the majority fall close to the parent plant (NZPCN)</t>
  </si>
  <si>
    <t>Ant dispersal based on morphology (Berg 1975)</t>
  </si>
  <si>
    <t>Polypodium vulgare L.</t>
  </si>
  <si>
    <t>Polypodium vulgare</t>
  </si>
  <si>
    <t>Pomaderris aspera Sieber ex DC.</t>
  </si>
  <si>
    <t>Pomaderris aspera</t>
  </si>
  <si>
    <t>hazel pomaderris</t>
  </si>
  <si>
    <t>dehiscent capsule-like</t>
  </si>
  <si>
    <t>Ashton 1979</t>
  </si>
  <si>
    <t xml:space="preserve">Seed of Pomaderris aspera was found in one artificial ant nest (Ashton 1979). </t>
  </si>
  <si>
    <t>Populus alba L.</t>
  </si>
  <si>
    <t>Populus alba</t>
  </si>
  <si>
    <t>white poplar</t>
  </si>
  <si>
    <t>ETNZF says seeds not produced; capsule contains dense cottony hairs</t>
  </si>
  <si>
    <t>NZ Flora Online: bank, coast, gully, hill, margin, moist, open, riparian, roadside, sheltered, stone, wasteland</t>
  </si>
  <si>
    <t>hairs</t>
  </si>
  <si>
    <t>Gonzalez et al. 2010</t>
  </si>
  <si>
    <t>Wind and water dispersed seed (Gonzalez et al. 2010); Populus nigra: Wind; Diaspore is blown by wind; Direct or experimental observation; Diaspore=seed. The diaspore is hairy or has hair-like processes (Ridley, 1930, cited in Kew SID)</t>
  </si>
  <si>
    <t>Potamogeton crispus L.</t>
  </si>
  <si>
    <t>Potamogeton crispus</t>
  </si>
  <si>
    <t>curled pondweed</t>
  </si>
  <si>
    <t>entirely submerged aquatic; seed mass estimated from Fig. 3 in Xu et al. 2020</t>
  </si>
  <si>
    <t>NZ Flora Online: bank, coast, flat , gravel, gully, lowland, margin, moist, open, pasture, sand, shaded, sheltered, silt, slope, stone, terrace; NZPCN: Moderately fast flowing to still water bodies</t>
  </si>
  <si>
    <t>Spread by seeds, stem fragments, rhizomes, or turions. Birds disperse seed, fragments, rhizomes and turions dispersed by contaminated machinery and water movement (NZPCN Factsheet prepared by Paul Champion and Deborah Hofstra (NIWA))</t>
  </si>
  <si>
    <t>P. nodosus (endozoochory) and P. pectinatus (endo- and ectozoochory) dispersed by water birds (Reynolds &amp; Cumming 2016); P. nodosus seeds in geese droppings germinated (Middleton et al. 1991)</t>
  </si>
  <si>
    <t>Prunus avium (L.) L.</t>
  </si>
  <si>
    <t>Prunus avium</t>
  </si>
  <si>
    <t>sweet cherry</t>
  </si>
  <si>
    <t>tree, 5–12–(15) m high when mature</t>
  </si>
  <si>
    <t>NZ Flora Online: bank, cliff, coast, dry, forest, forest edge, gully, margin, open, pasture, roadside, rock outcrop, sheltered, shrubland, slope, track. NZPCN: Forest margins, roadsides, scrub, hedgerows</t>
  </si>
  <si>
    <t>Henderson unpubl.; Burrows 1995; Atkinson 1997</t>
  </si>
  <si>
    <t>bird dispersed (Burrows 1995; Atkinson 1997)</t>
  </si>
  <si>
    <t>Spain: intact seeds in carnivorous mammal faeces (Herrera 1989). Spain: intact seeds in hedgehog, polecat, marten, fox &amp; badger droppings, fruits also eaten by 16 bird species including blackbird &amp; thrush (Hernandez 2008). England: blackbird primary disperser, thrushes also swallow fruits &amp; disperse seeds but have difficulty in plucking fruits, starling have great difficulty in swallowing fruit whole &amp; usually peck at pulp (Snow &amp; Snow 1988). Czechoslovakia: blackbird &amp; song thrush most important dispersers (Snow &amp; Snow 1988).</t>
  </si>
  <si>
    <t>Prunus campanulata Maxim.</t>
  </si>
  <si>
    <t>Prunus campanulata</t>
  </si>
  <si>
    <t>Taiwan cherry</t>
  </si>
  <si>
    <t>small, spreading tree, 3–8 m high when mature</t>
  </si>
  <si>
    <t>NZ Flora Online: dry, gap, gravel, hill, loam, lowland, open, terrace</t>
  </si>
  <si>
    <t>… seedlings and saplings sometimes appear spontaneously in and near gardens at some distance from the parent trees. Presumably, birds distribute the fruits (Webb et al. 1988)</t>
  </si>
  <si>
    <t>Prunus domestica L.</t>
  </si>
  <si>
    <t>Prunus domestica</t>
  </si>
  <si>
    <t>Prunus xdomestica</t>
  </si>
  <si>
    <t>plum</t>
  </si>
  <si>
    <t>small tree up to  c. 6–(9) m high when mature</t>
  </si>
  <si>
    <t>NZ Flora Online: bank, dry, gravel, margin, montane, ridge, riparian, roadside, slope, stone, terrace, tussockland. NZPCN: Near human settlements, waste places and forest margins</t>
  </si>
  <si>
    <t>McEwen 1978; Gibb 1970</t>
  </si>
  <si>
    <t>Spain: intact seeds in carnivorous mammal faeces (Herrera 1989).</t>
  </si>
  <si>
    <t>Prunus laurocerasus L.</t>
  </si>
  <si>
    <t>Prunus laurocerasus</t>
  </si>
  <si>
    <t>cherry laurel</t>
  </si>
  <si>
    <t>fruit diam. is mean. shrub or tree, up to  c. 10 m high when mature</t>
  </si>
  <si>
    <t>NZ Flora Online: bank, clay, cliff, dry, forest, gully, hill, lowland, margin, moist, montane, open, ridge, riparian, roadside, rock outcrop, sand, scrubland, shaded, sheltered, silt, slope, stone, terrace, track. NZPCN: High rainfall or otherwise saturated soils (C. Ogle, pers. comm.). Found in plantations, around shelterbelts, roadsides, wastelands and in lowland areas (Webb et al., 1988). Relics of cultivation are very common in settled areas especially around old homesteads, domains and parks (Webb et al., 1988). Riverine forest (C. Ogle, pers. comm.). On an alluvial terraca (J. Barkle, pers. comm.).</t>
  </si>
  <si>
    <t>Ridley 1998; Spurr et al. 2011</t>
  </si>
  <si>
    <t>Prunus serotina Ehrh.</t>
  </si>
  <si>
    <t>Prunus serotina</t>
  </si>
  <si>
    <t>wild black cherry</t>
  </si>
  <si>
    <t>not in Flora. medium-sized tree, up to 15 m high</t>
  </si>
  <si>
    <t>Deckers et al. 2008</t>
  </si>
  <si>
    <t>dispersed mainly by blackbirds and pigeons, but also by other birds, in Belgium (Deckers et al. 2008)</t>
  </si>
  <si>
    <t>Prunus serrulata Lindl.</t>
  </si>
  <si>
    <t>Prunus serrulata</t>
  </si>
  <si>
    <t>Japanese hill cherry</t>
  </si>
  <si>
    <t>fruit &lt; 15 mm diam. tree, 4–12–(15) m high when mature</t>
  </si>
  <si>
    <t>NZ Flora Online: bank, coast, dry, gully, hill, margin, open, roadside, scrubland, shrubland, slope, unstable/eroded, wasteland</t>
  </si>
  <si>
    <t>bird dispersed (Esler 1988)</t>
  </si>
  <si>
    <t>Pseudosasa japonica</t>
  </si>
  <si>
    <t>arrow bamboo</t>
  </si>
  <si>
    <t>medium-sized, inflorescence 3-5m long; dispersal vegetative - No regeneration from seed so far has been reported, viable seed is uncommon (Edgar and Connor 2000)</t>
  </si>
  <si>
    <t>NZ Flora Online: bank, clay, cliff, coast, dry, flat , forest edge, gorge, gravel, gully, hill, lowland, margin, moist, open, pasture, peat, ridge, riparian, river terrace, roadside, rock outcrop, sand, scrubland, shaded, sheltered, shrubland, silt, slope, stone, terrace, track, tree, wasteland; NZPCN: Roadsides, riverbanks, in or around plantations, especially near garden boundaries, in scrub and on forest margins, abandoned garden sites and waste places (Edgar and Connor 2000)</t>
  </si>
  <si>
    <t>Pseudotsuga menziesii (Mirb.) Franco</t>
  </si>
  <si>
    <t>Pseudotsuga menziesii</t>
  </si>
  <si>
    <t>Douglas fir</t>
  </si>
  <si>
    <t>large or very large tree; height from https://agpest.co.nz/?pesttypes=douglas-fir-douglas-pine, accessed 11/5/2023</t>
  </si>
  <si>
    <t>NZ Flora Online: bank, clay, dry, gravel, gully, hill, margin, roadside, sand, shaded, sheltered, slope, stone, terrace, track; NZPCN: A plant of lowland, montane and subalpine habitats growing in sites with low-moderate fertility (Timmins &amp; MacKenzie 1995). A plant of scrub and forest margin communities, shrublands, tussockland and light wells in forest (Timmins &amp; MacKenzie 1995).</t>
  </si>
  <si>
    <t>Timmins &amp; Mackenzie 1995; Kew SID</t>
  </si>
  <si>
    <t>Seed is dispersed in autumn and winter by wind and gravity and remains viable for a few weeks to many years (NZPCN).</t>
  </si>
  <si>
    <t xml:space="preserve">P. menziesii subsp. menziesii: Wind; Diaspore is blown by wind; Direct or experimental observation; (Young &amp; Young, 1992, Farmer, 1997, cited in Kew SID); Diaspore=seed. The diaspore has wings or wing-like features. </t>
  </si>
  <si>
    <t>Psidium cattleianum</t>
  </si>
  <si>
    <t>Psidium cattleyanum</t>
  </si>
  <si>
    <t>purple guava</t>
  </si>
  <si>
    <t>seeds numerous. Large shrub or small tree to 6 m high</t>
  </si>
  <si>
    <t>NZ Flora Online: bank, dry, lowland, roadside, slope, stone</t>
  </si>
  <si>
    <t>McEwen 1978; Powlesland unpubl.; West 1996; Karan 2000; Atkinson 1997; Spurr et al. 2011</t>
  </si>
  <si>
    <t>fruits eaten by sparrow, silvereye, blackbird &amp; kereru; only kereru &amp; blackbird capable of swallowing  fruits (blackbird only small fruits), but the small seeds could be ingested by silvereye &amp; sparrow (Karan 2000). Fruits eaten by bellbirds (Spurr et al. 2011).</t>
  </si>
  <si>
    <r>
      <t xml:space="preserve">feral pigs &amp; non-native birds disperse the seeds (Cronk &amp; Fuller 1995). Vertebrates observed consuming fruits of </t>
    </r>
    <r>
      <rPr>
        <i/>
        <sz val="11"/>
        <rFont val="Calibri"/>
        <family val="2"/>
        <scheme val="minor"/>
      </rPr>
      <t>Psidium</t>
    </r>
    <r>
      <rPr>
        <sz val="11"/>
        <rFont val="Calibri"/>
        <family val="2"/>
        <scheme val="minor"/>
      </rPr>
      <t xml:space="preserve"> spp. (Meisenburg &amp; Fox 2002).</t>
    </r>
  </si>
  <si>
    <t>Psidium guajava L.</t>
  </si>
  <si>
    <t>Psidium guajava</t>
  </si>
  <si>
    <t>yellow guava</t>
  </si>
  <si>
    <t>produces fruit nearly all year (Cronk &amp; Fuller 1995). Shrub or small tree to  c. 3 m high</t>
  </si>
  <si>
    <t>NZ Flora Online: ridge, roadside, rock outcrop, slope</t>
  </si>
  <si>
    <t>Anderson 2006; West 1996; Atkinson 1997</t>
  </si>
  <si>
    <t>bird-dispersed (Atkinson 1997). NZPCN: Bird dispersed (Lisa Forester 1996). Rats also eat the fruit but will destroy many of the seeds.</t>
  </si>
  <si>
    <r>
      <t xml:space="preserve">dispersed by  mammals &amp; birds, often introduced species  (Cronk &amp; Fuller 1995). Vertebrates observed consuming fruits of </t>
    </r>
    <r>
      <rPr>
        <i/>
        <sz val="11"/>
        <rFont val="Calibri"/>
        <family val="2"/>
        <scheme val="minor"/>
      </rPr>
      <t>Psidium</t>
    </r>
    <r>
      <rPr>
        <sz val="11"/>
        <rFont val="Calibri"/>
        <family val="2"/>
        <scheme val="minor"/>
      </rPr>
      <t xml:space="preserve"> spp. (Meisenburg &amp; Fox 2002).</t>
    </r>
  </si>
  <si>
    <t>Psoralea pinnata L.</t>
  </si>
  <si>
    <t>Psoralea pinnata</t>
  </si>
  <si>
    <t>dally pine</t>
  </si>
  <si>
    <t>shrub to small tree, to c. 5m high</t>
  </si>
  <si>
    <t>NZ Flora Online: bank, clay, coast, dry, flat , gravel, hill, lowland, margin, open, pasture, ridge, roadside, sand, shrubland, slope, stone, terrace, track, wasteland; NZPCN: Shrublands, especially dry slow growing shrublands, coastal areas, tracksides, road verges, dry gullies, and forest margins.</t>
  </si>
  <si>
    <t>Esler 1988; Stirton et al. 2015</t>
  </si>
  <si>
    <t>In Australia, P. pinnata reproduces mainly by seed (shed copiously locally then secondarily dispersed by water) (Stirton et al. 2015); P. cinerea: Unassisted; Seeds drop to the ground close to or beneath the parent plant; Assumption based upon diaspore morphology; (Jurado et al., 1991)</t>
  </si>
  <si>
    <t>Pteris cretica L.</t>
  </si>
  <si>
    <t>Pteris cretica</t>
  </si>
  <si>
    <t>kudzu</t>
  </si>
  <si>
    <t>Weedbusters: Forest, forest edges, riparian zones, scrub, shrubland, plantations, roadsides and urban areas.</t>
  </si>
  <si>
    <t>Aurambout &amp; Endress 2018</t>
  </si>
  <si>
    <t>Pultenaea daphnoides J.C.Wendl.</t>
  </si>
  <si>
    <t>Pultenaea daphnoides</t>
  </si>
  <si>
    <t>pultenaea</t>
  </si>
  <si>
    <t>shrub up to 2m high</t>
  </si>
  <si>
    <t>O'Dowd &amp; Gill, 1986, cited in Kew Seed Information Database; Berg 1975</t>
  </si>
  <si>
    <t>Animal; Diaspore is carried intentionally; Direct or experimental observation; (O'Dowd &amp; Gill, 1986); Ants.; Diaspore=seed. The seed has an elaiosome. Probably myrmecochorous (Berg 1975)</t>
  </si>
  <si>
    <t>Pyracantha angustifolia</t>
  </si>
  <si>
    <t>orange firethorn</t>
  </si>
  <si>
    <t>shrub up to 2.5–(5) m high</t>
  </si>
  <si>
    <t>NZ Flora Online: bank, clay, cliff, coast, dry, hill, loam, lowland, margin, open, pasture, roadside, rock outcrop, sand, shrubland, slope, stone, terrace, tree, wasteland</t>
  </si>
  <si>
    <t>Gibb 2000</t>
  </si>
  <si>
    <t>"Pyracantha sp." dispersed by silvereyes, "Pyracanthus" dispersed by blackbirds (Gibb 2000)</t>
  </si>
  <si>
    <t>Quercus robur L.</t>
  </si>
  <si>
    <t>Quercus robur</t>
  </si>
  <si>
    <t>English oak</t>
  </si>
  <si>
    <t>large tree, to c. 30m tall in cultivation</t>
  </si>
  <si>
    <t>30?</t>
  </si>
  <si>
    <t>acorn</t>
  </si>
  <si>
    <t>edible fruit</t>
  </si>
  <si>
    <t>Reynoutria xbohemica</t>
  </si>
  <si>
    <t>Fallopia ×bohemica</t>
  </si>
  <si>
    <t>giant knotweed</t>
  </si>
  <si>
    <t>hybrid of Reynoutria japonica and R. sachalinensis; herbaceous or shrubby plant growing up to 4m tall, seeds (2-4 mm long) are enclosed in a three-winged fruit; Weedbusters (Fallopia sachalinensis): no seed is produced in NZ (accessed 11/5/2023)</t>
  </si>
  <si>
    <t>NZ Flora Online: bank, gravel, roadside</t>
  </si>
  <si>
    <t>seed dispersal based on diaspore morphology</t>
  </si>
  <si>
    <t>Reynoutria japonica Houtt.</t>
  </si>
  <si>
    <t>Fallopia japonica</t>
  </si>
  <si>
    <t>Reynoutria japonica, Polygonum cuspidatum</t>
  </si>
  <si>
    <t>Asiatic knotweed; Japanese knotweed</t>
  </si>
  <si>
    <t>Valves of fr. 7–11 mm long (including broad wing); shrub-like herb</t>
  </si>
  <si>
    <t>Maruta 1976</t>
  </si>
  <si>
    <t>valves of fruit have broad wing (Webb et al. 1988)</t>
  </si>
  <si>
    <t>seeds abundantly blown by wind (Maruta 1976); Ecological Flora of the Bristish Isles: unspecialised</t>
  </si>
  <si>
    <t>Fallopia sachalinensis</t>
  </si>
  <si>
    <t>Reynoutria sachalinensis</t>
  </si>
  <si>
    <t>fruit valves prominantly winged, nut not seen; does not produce mature fruit in NZ (Webb et al. 1988)</t>
  </si>
  <si>
    <t>Rhamnus alaternus L.</t>
  </si>
  <si>
    <t>Rhamnus alaternus</t>
  </si>
  <si>
    <t>evergreen buckthorn</t>
  </si>
  <si>
    <t>shrub to  c. 5 m high</t>
  </si>
  <si>
    <t>NZ Flora Online: bank, clay, cliff, coast, dry, gap, gravel, gully, hill, lava, lowland, margin, open, pasture, ridge, roadside, rock outcrop, sand, scrubland, shaded, sheltered, shrubland, slope, stone, terrace, track, wasteland. NZPCN: A plant of coastal and lowland habitats, grows in sites with low - low/moderate fertility. Invades scrub, forest margin, tall forest, low forest, shrubland, fernland, cliff and bare rock and river verge communities.</t>
  </si>
  <si>
    <t>Timmins &amp; Mackenzie 1995; Atkinson 1997</t>
  </si>
  <si>
    <t>birds such as myna, blackbird, thrush, starling spread seed (Timmins &amp; Mackenzie 1995). Bird-dispersed (Atkinson 1997).</t>
  </si>
  <si>
    <t>Rhaphiolepis indica</t>
  </si>
  <si>
    <t>sexton's bride</t>
  </si>
  <si>
    <t>NZPCN website 16 June 2022: shrub</t>
  </si>
  <si>
    <t>Corlett 1996</t>
  </si>
  <si>
    <t>Animal; Diaspore is eaten intentionally; Direct or experimental observation; (Corlett, 1996); Birds.; Diaspore=fruit. Fruit is fleshy.</t>
  </si>
  <si>
    <t>Rhododendron ponticum L.</t>
  </si>
  <si>
    <t>Rhododendron ponticum</t>
  </si>
  <si>
    <t>rhododendron</t>
  </si>
  <si>
    <t>capsule persists for up to 3 yrs (Cronk &amp; Fuller 1995)</t>
  </si>
  <si>
    <t>NZ Flora Online: bank, clay, dry, fernland, forest, forest edge, hill, lowland, margin, moist, open, ridge, roadside, sand, shaded, sheltered, shrubland, slope, stone</t>
  </si>
  <si>
    <t>seed hairy</t>
  </si>
  <si>
    <t>97.1% of seeds found up to 10m  from release point, 0.1% of seeds dispersed to at least 100m (Stephenson et al. 2007)</t>
  </si>
  <si>
    <t>Ridley 1930; Cronk &amp; Fuller 1995; Stephenson et al. 2007; Harris et al. 2009</t>
  </si>
  <si>
    <t>small, light seeds dispersed efficiently by wind (Cronk &amp; Fuller 1995); Seeds dispersed primarily by wind (Stephenson et al. 2007; Harris et al. 2009); Wind; Diaspore is blown by wind; Method not stated; (Ridley, 1930, cited in Kew SID); Diaspore=seed. The diaspore is hairy or has hair-like processes.</t>
  </si>
  <si>
    <t>Ribes sanguineum Pursh</t>
  </si>
  <si>
    <t>Ribes sanguineum</t>
  </si>
  <si>
    <t>flowering currant</t>
  </si>
  <si>
    <t>shrub, 1–2–(3) m high</t>
  </si>
  <si>
    <t>NZ Flora Online: bank, grassland, hill, margin, open, pasture, ridge, roadside, shrubland, slope</t>
  </si>
  <si>
    <t>Burrows 1994</t>
  </si>
  <si>
    <t>Ribes uva-crispa L.</t>
  </si>
  <si>
    <t>Ribes uva-crispa</t>
  </si>
  <si>
    <t>gooseberry</t>
  </si>
  <si>
    <t>shrub usually 0.5–1.5–(2.5) m high</t>
  </si>
  <si>
    <t>NZ Flora Online:  bank, forest, gap, hill, lake margin, margin, river terrace, sand, shaded, sheltered, shrubland, silt, stone, terrace. NZPCN: Grass and scrub covered areas, rocky outcrops and forest margins</t>
  </si>
  <si>
    <t>Snow &amp; Snow 1988</t>
  </si>
  <si>
    <t>England: fruits eaten by blackbird. Fruit removal rates very rapid but few observations of bird feeding (Snow &amp; Snow 1988).</t>
  </si>
  <si>
    <t>Ricinus communis L.</t>
  </si>
  <si>
    <t>Ricinus communis</t>
  </si>
  <si>
    <t>castor oil plant</t>
  </si>
  <si>
    <t>fruits all year round under favourable conditions (Cronk &amp; Fuller 1995)</t>
  </si>
  <si>
    <t>NZ Flora Online:  bank, cliff, coast, hill, lowland, margin, open, roadside, rock outcrop, sand, shrubland, terrace, wasteland</t>
  </si>
  <si>
    <t>explosively dehiscent capsule, elaiosome, spiny capsule</t>
  </si>
  <si>
    <t>Pemberton &amp; Irving 1990; Cronk &amp; Fuller 1995; Martins et al. 2006</t>
  </si>
  <si>
    <t>has no structures directly aiding active seed dispersal and large seeds (&gt;10 mg) (Esler 1988).</t>
  </si>
  <si>
    <t>Primarily dispersed ballistically, then by ants (Martins et al. 2006); mammal &amp; bird dispersed by attachment (Cronk &amp; Fuller 1995); rodents and granivorous birds may disperse some seeds (Smith 1985). Seed has an elaiosome (Pemberton &amp; Irving 1990).</t>
  </si>
  <si>
    <t>Robinia pseudoacacia L.</t>
  </si>
  <si>
    <t>Robinia pseudoacacia</t>
  </si>
  <si>
    <t>false acacia</t>
  </si>
  <si>
    <t>NZ Flora Online: bank, coast, dry, hill, lowland, margin, moist, open, riparian, river terrace, roadside, sand, shaded, sheltered, silt, slope, stone, terrace, wasteland</t>
  </si>
  <si>
    <t>seeds dispersed up to 67 m from nearest adult (Morimoto et al. 2009)</t>
  </si>
  <si>
    <t>Esler 1988; Young &amp; Young 1992; Ridley 1930, cited in Morimoto et al. 2010; Morimoto et al. 2010</t>
  </si>
  <si>
    <t>Unassisted; Seeds drop to the ground close to or beneath the parent plant; Method not stated; (Young &amp; Young, 1992); Diaspore=seed; seeds are dispersed beneath reproductive trees, while seeds in pods are able to be dispersed far from the reproductive trees by flowing water (Ridley 1930, cited in Morimoto et al. 2010). Most seeds were dispersed as pods, seeds dispersed by wind and streams (Morimoto et al. 2010).</t>
  </si>
  <si>
    <t>Roldana petasitis (Sims) H.Rob. &amp; Brettell</t>
  </si>
  <si>
    <t>Roldana petasitis</t>
  </si>
  <si>
    <t>velvet groundsel</t>
  </si>
  <si>
    <r>
      <t>up to  </t>
    </r>
    <r>
      <rPr>
        <i/>
        <sz val="11"/>
        <rFont val="Calibri"/>
        <family val="2"/>
        <scheme val="minor"/>
      </rPr>
      <t>c.</t>
    </r>
    <r>
      <rPr>
        <sz val="11"/>
        <rFont val="Calibri"/>
        <family val="2"/>
        <scheme val="minor"/>
      </rPr>
      <t xml:space="preserve"> 1–(2) m tall</t>
    </r>
  </si>
  <si>
    <t>NZ Flora Online: bank, hill, roadside</t>
  </si>
  <si>
    <t>wind borne seeds (NZPCN)</t>
  </si>
  <si>
    <t>Rosa rubiginosa L.</t>
  </si>
  <si>
    <t>Rosa rubiginosa</t>
  </si>
  <si>
    <t>sweet brier</t>
  </si>
  <si>
    <t>shrub 1–3–(5) m high</t>
  </si>
  <si>
    <t>NZ Flora Online:  bank, clay, dry, grassland, gravel, hill, open, pasture, river terrace, roadside, rock outcrop, sand, shaded, sheltered, shrubland, slope, stone, terrace, track. NZPCN: A plant of lowland habitats and sites with high fertility. A plant of tussock land, open sites, river flats, banks and terraces and stream sides. A plant of open, well-drained sites on roadsides, stabilised scree, steep open slopes and lakesides from s.l. to about 1000m a.s.l. The plant is often the dominant woody species, in habitats where it occurs and nearly always grows where other woody plants are rather sparse or absent. Areas at risk form the plant are pasture, low and disturbed forest, gullies and roadsides.</t>
  </si>
  <si>
    <t>hip</t>
  </si>
  <si>
    <t>Timmins &amp; Mackenzie 1995; Esler 1988; Rouco &amp; Norbury 2013; NZPCN</t>
  </si>
  <si>
    <t>dispersed by birds (Esler 1988); seeds in possum droppings (Rouco &amp; Norbury 2013). The plant has a high seed output which is dispersed by birds and domestic stock (NZPCN).</t>
  </si>
  <si>
    <r>
      <t xml:space="preserve">Spain: intact seeds of </t>
    </r>
    <r>
      <rPr>
        <i/>
        <sz val="11"/>
        <rFont val="Calibri"/>
        <family val="2"/>
        <scheme val="minor"/>
      </rPr>
      <t>Rosa canina</t>
    </r>
    <r>
      <rPr>
        <sz val="11"/>
        <rFont val="Calibri"/>
        <family val="2"/>
        <scheme val="minor"/>
      </rPr>
      <t xml:space="preserve"> in carnivorous mammal faeces (Herrera 1989).</t>
    </r>
  </si>
  <si>
    <t>Rubus armeniacus Focke</t>
  </si>
  <si>
    <t>Rubus armeniacus</t>
  </si>
  <si>
    <t>Rubus procerus</t>
  </si>
  <si>
    <t>Armenian blackberry</t>
  </si>
  <si>
    <t>Not in NZ Flora Online or NZPCN website. Clayson's notes: the name R. procerus was erroneously applied to NZ material. Used description from R. procerus in Flora.</t>
  </si>
  <si>
    <t>Flora: roadsides, waste places, scrub, forest margins, streamsides</t>
  </si>
  <si>
    <t>fleshy aggregate of 1-seeded druplets</t>
  </si>
  <si>
    <t xml:space="preserve">Rubus spp. have succulent fruits which are dispersed by birds quite effectively (Esler 1988). </t>
  </si>
  <si>
    <t>Rubus sp. dispersed by water birds bia both endo- and ectozoochory (Reynolds &amp; Cumming 2016)</t>
  </si>
  <si>
    <t>Rubus cardiophyllus</t>
  </si>
  <si>
    <t>blackberry</t>
  </si>
  <si>
    <t>Flora: streamsides, riverflats, waste places, scrub</t>
  </si>
  <si>
    <t>Rubus cissburiensis</t>
  </si>
  <si>
    <t>Flora: roadsides, forest and scrub margins, riverbanks</t>
  </si>
  <si>
    <t>Rubus echinatus Lindl.</t>
  </si>
  <si>
    <t>Rubus echinatus</t>
  </si>
  <si>
    <t>Flora: wasteland, roadsides, river banks and flats, forest margins and clearings, scrub up to c. 800 m.</t>
  </si>
  <si>
    <t>Rubus laciniatus Willd.</t>
  </si>
  <si>
    <t>Rubus laciniatus</t>
  </si>
  <si>
    <t>cut-leaved blackberry</t>
  </si>
  <si>
    <t>Flora: roadsides, scrub, fernland, riverbanks, neglected pasture, up to 600 m.</t>
  </si>
  <si>
    <t>Esler 1988; Kew SID</t>
  </si>
  <si>
    <t>Rubus laciniatus seed dispersed by mammals and birds (Kew SID). Rubus sp. dispersed by water birds bia both endo- and ectozoochory (Reynolds &amp; Cumming 2016)</t>
  </si>
  <si>
    <t>Rubus leptothyrsos G.Braun</t>
  </si>
  <si>
    <t>Rubus leptothyrsos</t>
  </si>
  <si>
    <t>Flora: steep banks, roadsides, scrub, forest margins, river terraces</t>
  </si>
  <si>
    <t>Rubus phoenicolasius Maxim.</t>
  </si>
  <si>
    <t>Rubus phoenicolasius</t>
  </si>
  <si>
    <t>Japanese wineberry</t>
  </si>
  <si>
    <t>shrub up to 4 m high</t>
  </si>
  <si>
    <t>NZ Flora Online: bank, clay, coast, dry, flat , forest, gravel, gully, hill, log, lowland, margin, moist, open, pasture, roadside, sand, scrubland, shaded, sheltered, shrubland, silt, slope, stone, terrace, track, wasteland</t>
  </si>
  <si>
    <t>Esler 1988; Takahashi et al. 2008; Koike et al. 2008; NZPCN</t>
  </si>
  <si>
    <r>
      <t>Rubus</t>
    </r>
    <r>
      <rPr>
        <sz val="11"/>
        <rFont val="Calibri"/>
        <family val="2"/>
        <scheme val="minor"/>
      </rPr>
      <t xml:space="preserve"> spp. have succulent fruits which are dispersed by birds quite effectively (Esler 1988). dispersed by people and birds (NZPCN)</t>
    </r>
  </si>
  <si>
    <r>
      <t xml:space="preserve">Japan: intact seeds of </t>
    </r>
    <r>
      <rPr>
        <i/>
        <sz val="11"/>
        <rFont val="Calibri"/>
        <family val="2"/>
        <scheme val="minor"/>
      </rPr>
      <t>Rubus</t>
    </r>
    <r>
      <rPr>
        <sz val="11"/>
        <rFont val="Calibri"/>
        <family val="2"/>
        <scheme val="minor"/>
      </rPr>
      <t xml:space="preserve"> spp.  found in mammal droppings - bear, marten, badger, fox &amp; racoon dog (Koike et al. 2008)</t>
    </r>
  </si>
  <si>
    <t>Rubus polyanthemus Lindeb</t>
  </si>
  <si>
    <t>Rubus polyanthemus</t>
  </si>
  <si>
    <t>Flora: roadsides, damp pasture and scrub</t>
  </si>
  <si>
    <t>Rubus ulmifolius Schott</t>
  </si>
  <si>
    <t>Rubus ulmifolius</t>
  </si>
  <si>
    <t>Flora: roadsides, streamsides, waste places, neglected pasture, hillsides, margins or forest and scrub</t>
  </si>
  <si>
    <t>Esler 1988; Mora &amp; Smith-Ramirez 2016; Kew SID</t>
  </si>
  <si>
    <t>seed dispersed by birds and wind (Mora &amp; Smith-Ramirez 2016); R. ulmifolius dispersed by birds in Mediterranean (cited in Kew SID: Debussche, M. &amp; Isenmann, P. 1994. Bird-Dispersed Seed Rain and Seedling Establishment in Patchy Mediterranean Vegetation. Oikos, 69(3):414-426.). Rubus sp. dispersed by water birds bia both endo- and ectozoochory (Reynolds &amp; Cumming 2016)</t>
  </si>
  <si>
    <t>Rubus vestitus</t>
  </si>
  <si>
    <t>Flora: hillsides, roadsides, waste places, damp forest margins, streamsides</t>
  </si>
  <si>
    <t>Rumex sagittatus Thunb.</t>
  </si>
  <si>
    <t>Rumex sagittatus</t>
  </si>
  <si>
    <t>climbing dock</t>
  </si>
  <si>
    <t>creeper or low climber; papery, three-winged fruit; keel of nut almost winged</t>
  </si>
  <si>
    <t>NZ Flora Online: bank, clay, cliff, coast, flat , gravel, hill, open, pasture, ridge, riparian, roadside, rock outcrop, sand, shrubland, silt, stone, terrace, wasteland</t>
  </si>
  <si>
    <t>Esler 1988; NZPCN; Ridley 1930; Reynolds &amp; Cumming 2016?</t>
  </si>
  <si>
    <t>Wind dispersed (Esler 1988); Seeds are dispersed successfully by wing and germinate easily (Ermert and Clapp 1998, cited in NZPCN)</t>
  </si>
  <si>
    <t>Wind; Diaspore is blown by wind; Method not stated; (Ridley, 1930); Diaspore=fruit. The diaspore has wings or wing-like features; Rumex sp. dispersed by water birds via endozoochory (Reynolds &amp; Cumming 2016); R. acetosella seeds germinated from white-tailed deer faeces (Flaherty et al. 2018) and sheep faeces (Eichberg et al. 2007)</t>
  </si>
  <si>
    <t>Sagina procumbens L.</t>
  </si>
  <si>
    <t>Sagina procumbens</t>
  </si>
  <si>
    <t>procumbent pearlwort</t>
  </si>
  <si>
    <t>stems procument or rarely ascending; seeds not winged</t>
  </si>
  <si>
    <t>0.1?</t>
  </si>
  <si>
    <t>NZPCN: damp sites</t>
  </si>
  <si>
    <t>hard seed coat</t>
  </si>
  <si>
    <t>Rosenthal 2006; Albert et al. 2015</t>
  </si>
  <si>
    <t>short distance wind dispersal; endochorous, hard seed coat, without pulp (Rosenthal 2006); seeds dispersal internally by deer (Albert et al. 2015).</t>
  </si>
  <si>
    <t>Salix cinerea L.</t>
  </si>
  <si>
    <t>Salix cinerea</t>
  </si>
  <si>
    <t>grey willow</t>
  </si>
  <si>
    <t>shrub or small tree to c. 7m high, often only 1-2m; tiny seeds topped with a tuft of silky hairs</t>
  </si>
  <si>
    <t>NZ Flora Online: stream banks, and in marshes, bogs, and swamps; NZPCN: Swamps, fens, water body margins and disturbed places</t>
  </si>
  <si>
    <t>seeds topped with tufts of silky hairs</t>
  </si>
  <si>
    <t>NZPCN; Couvreur et al. 2004; Griffiths et al. 2017; Eichberg et al. 2007?</t>
  </si>
  <si>
    <t>Seed dispersed by wind, water and contaminated machinery (NZPCN Factsheet prepared by Paul Champion and Deborah Hofstra (NIWA)); wind-dispersed (Griffiths et al. 2017)</t>
  </si>
  <si>
    <t>seeds dispersed attached to cattle and donkey fur (Couvreur et al. 2004); Salix sp. seeds germinated from sheep faeces (Eichberg et al. 2007)</t>
  </si>
  <si>
    <t>Salix xfragilis</t>
  </si>
  <si>
    <t>Salix fragilis</t>
  </si>
  <si>
    <t>crack willow</t>
  </si>
  <si>
    <t>almost exclusively male in NZ; sometimes only a shrub</t>
  </si>
  <si>
    <t>NZPCN: Riparian margins of water bodies.</t>
  </si>
  <si>
    <t>tiny seeds topped with a tuft of silky hairs; buoyant seed</t>
  </si>
  <si>
    <t>Kew SID; Eichberg et al. 2007</t>
  </si>
  <si>
    <t>nearly all the trees are male (Webb et al. 1988); Stem fragments dispersed by water and contaminated machinery (NZPCN Factsheet prepared by Paul Champion and Deborah Hofstra (NIWA)).</t>
  </si>
  <si>
    <t>Combination dispersal, wind + water; Method not stated. Diaspore=seed. The diaspore is buoyant (Young &amp; Young 1992, cited by Kew SID); Salix sp. seeds germinated from sheep faeces (Eichberg et al. 2007)</t>
  </si>
  <si>
    <t>Salpichroa origanifolia (Lam.) Baill.</t>
  </si>
  <si>
    <t>Salpichroa origanifolia</t>
  </si>
  <si>
    <t>lily of the valley vine</t>
  </si>
  <si>
    <t>Flora: disturbed scrub and other modified vegetation, waste places, roadsides, garden surrounds</t>
  </si>
  <si>
    <t>Reati et al. 2022</t>
  </si>
  <si>
    <t>seeds collected from bird faeces and germinated (Reati et al. 2022)</t>
  </si>
  <si>
    <t>Sambucus nigra L.</t>
  </si>
  <si>
    <t>Sambucus nigra</t>
  </si>
  <si>
    <t>elder</t>
  </si>
  <si>
    <t>Shrub or small tree to  c. 6 m high. Snow &amp; Snow report 2-4 seeds/fruit</t>
  </si>
  <si>
    <t>NZ Flora Online: bank, cliff, coast, dry, forest, forest edge, grassland, gully, hill, lake margin, margin, moist, open, pasture, roadside, rock outcrop, sand, sheltered, shrubland, slope, stone, terrace, wasteland. NZPCN: coastal and lowland habitats (Timmins &amp; MacKenzie 1995). The plant occurs in scrub and forest margin and modified plant communities (Timmins &amp; MacKenzie 1995).</t>
  </si>
  <si>
    <t>Webb et al. 1988; Burrows 1995; Williams &amp; Karl 1996, Atkinson 1997; Spurr et al. 2011</t>
  </si>
  <si>
    <t>the fruits are spread by birds (Webb et al. 1988). Bird dispersed (Burrows 1995); Fruits eaten by bellbirds (Spurr et al. 2011).</t>
  </si>
  <si>
    <t>England: most fruits eaten by starling, also eaten by blackbird &amp; song thrush &amp; other birds (Snow &amp; Snow 1988).</t>
  </si>
  <si>
    <t>22/6/203</t>
  </si>
  <si>
    <t>Schinus terebinthifolia Raddi</t>
  </si>
  <si>
    <t>Schinus terebinthifolia</t>
  </si>
  <si>
    <t>Schinus terebinthifolius</t>
  </si>
  <si>
    <t>Christmas berry</t>
  </si>
  <si>
    <t>Not in Flora. shrub up to 3m high (NZPCN)</t>
  </si>
  <si>
    <t>NZPCN: currently in waste areas, but a problem weed of wetland and water body margins overseas</t>
  </si>
  <si>
    <t>NZPCN; Leal et al. 2007</t>
  </si>
  <si>
    <t>Bird and mammal dispersed seed (NZPCN Factsheet prepared by Paul Champion and Deborah Hofstra (NIWA)).</t>
  </si>
  <si>
    <t>seeds dispersed by ants (direct observation) (Leal, I.R., Wirth, R., &amp; Tabarelli, M. 2007. Seed Dispersal by Ants in the Semi-arid Caatinga of North-east Brazil. Annals of Botany, 99:885-894. Cited in Kew SID)</t>
  </si>
  <si>
    <t>Schoenoplectus californicus (C.A.Mey.) Soják</t>
  </si>
  <si>
    <t>Schoenoplectus californicus</t>
  </si>
  <si>
    <t>Californian bulrush</t>
  </si>
  <si>
    <t>NZPCN: Coastal river banks and estuaries</t>
  </si>
  <si>
    <t>bristles on seeds</t>
  </si>
  <si>
    <t>NZPCN; Kehr et al. 2014, de Lange et al. 1998</t>
  </si>
  <si>
    <t>Seed is viable, but seedlings have not been observed in the field. Movement of rhizome fragments by water is likely to be a major dispersal mechanism (de Lange et al. 1998). Seed is long-lived, the surrounding bristles readily attach themselves to feathers, fur and clothing (NZPCN Factsheet prepared by Paul Champion and Deborah Hofstra (NIWA)).</t>
  </si>
  <si>
    <t>S. acutus dispersed by hydrochory, viable seeds sampled from water (Kehr et al 2014)</t>
  </si>
  <si>
    <t>tall fescue</t>
  </si>
  <si>
    <t>infl. up to 1.5 m long</t>
  </si>
  <si>
    <t>commonly of river beds; NZ Flora Online: bank, coast, dry, forest, forest edge, grassland, gravel, hill, lake margin, lowland, margin, moist, open, pasture, peat, riparian, riverbed, roadside, rock outcrop, sand, sheltered, shrubland, silt, slope, stone, terrace, track, wasteland, wetland</t>
  </si>
  <si>
    <t>ETNZF (attachment, also wind)</t>
  </si>
  <si>
    <t>Sedum acre L.</t>
  </si>
  <si>
    <t>Sedum acre</t>
  </si>
  <si>
    <t>stonecrop</t>
  </si>
  <si>
    <t>often mat-forming; infl. terminal, &lt;1.5cm long; &lt; 10 cm high (Weedbusters)</t>
  </si>
  <si>
    <t>NZ Flora online: bank, cliff, coast, dry, gravel, open, ridge, roadside, rock outcrop, slope, stone, track; A plant that grows on gravel, shingle, sand, rocks and most light porous substrates from sea level to nearly 1500m (Webb et. al. 1988). A plant of coastal cliffs, behind beaches, on walls and banks, roadsides, riverbeds, railway tracks and embankments and waste places in and around settlements (Webb et. al. 1988)</t>
  </si>
  <si>
    <t>Esler 1988; Rosenthal 2006; Eichberg et al. 2007; Albert et al. 2015</t>
  </si>
  <si>
    <t>very small (dust) seed weighing &lt;0.1 mg (Esler 1988)</t>
  </si>
  <si>
    <t>Water; Wetting by rain or dew; Direct or experimental observation; (van der Pijl, 1982); Unassisted dispersal also occurs. Diaspore=seed. The structure that contains the diaspores opens when wet. Fruits open when wetted by rain, dispersal is then unassisted. Short distance wind dispersal (Rosenthal 2006). Seeds dispersed internally by deer (sometimes; Albert et al. 2015); viable seeds dispersed in sheep faeces (Eichberg et al. 2007).</t>
  </si>
  <si>
    <t>Sedum praealtum A.DC.</t>
  </si>
  <si>
    <t>Sedum praealtum</t>
  </si>
  <si>
    <t>shrubby stonecrop</t>
  </si>
  <si>
    <t>subshrub; mature seed not seen</t>
  </si>
  <si>
    <t>Herbarium specimens (AKL &amp; WELT): coastal shingle slope; steep, rocky open bank</t>
  </si>
  <si>
    <t>Selaginella kraussiana</t>
  </si>
  <si>
    <t>fern ally</t>
  </si>
  <si>
    <t>Senecio angulatus</t>
  </si>
  <si>
    <t>Cape ivy</t>
  </si>
  <si>
    <t>Seeds do not appear to be viable (Esler 1988)</t>
  </si>
  <si>
    <t>Senecio elegans L.</t>
  </si>
  <si>
    <t>Senecio elegans</t>
  </si>
  <si>
    <t>purple groundsel</t>
  </si>
  <si>
    <t>herb 10-60cm tall</t>
  </si>
  <si>
    <t>NZPCN: sand dunes, river terraces</t>
  </si>
  <si>
    <r>
      <t xml:space="preserve">S. congestus: </t>
    </r>
    <r>
      <rPr>
        <sz val="11"/>
        <rFont val="Calibri"/>
        <family val="2"/>
        <scheme val="minor"/>
      </rPr>
      <t xml:space="preserve">Wind; Diaspore is blown by wind; Direct or experimental observation; (van der Pijl, 1982, cited in Kew SID); </t>
    </r>
    <r>
      <rPr>
        <i/>
        <sz val="11"/>
        <rFont val="Calibri"/>
        <family val="2"/>
        <scheme val="minor"/>
      </rPr>
      <t>Senecio squalidus</t>
    </r>
    <r>
      <rPr>
        <sz val="11"/>
        <rFont val="Calibri"/>
        <family val="2"/>
        <scheme val="minor"/>
      </rPr>
      <t xml:space="preserve"> wind dispersed, Method not stated (Matlack 1987, cited in Kew SID); S. albonervus and S. angulifolius: Diaspore is blown by wind; Direct or experimental observation; Diaspore is plumed (Vazquez &amp; Givnish, 1998, cited in Kew SID); S. jacobaea: viable seeds dispersed attached to cattle, donkey and horse (Couvreur et al. 2004)</t>
    </r>
  </si>
  <si>
    <t>Senecio glastifolius</t>
  </si>
  <si>
    <t>holly-leaved senecio</t>
  </si>
  <si>
    <t>NZ Flora Online: bank, clay, cliff, coast, dry, gravel, gully, hill, lowland, margin, open, pasture, riverbed, roadside, rock outcrop, sand, shaded, sheltered, shrubland, silt, slope, stone, terrace, track, wasteland; rocky banks with only interstitial soil, coarse river gravel, coastal scree, sandy substrate, sand dune swales and swamp margins (Williams et al. 1999).</t>
  </si>
  <si>
    <t>Senecio skirrhodon DC.</t>
  </si>
  <si>
    <t>Senecio skirrhodon</t>
  </si>
  <si>
    <t>gravel groundsel</t>
  </si>
  <si>
    <t>herb 15-50cm tall</t>
  </si>
  <si>
    <t>Flora: coastal sites, waste sites, railway lines</t>
  </si>
  <si>
    <t>Senna septemtrionalis (Viv.) H.S.Irwin &amp; Barneby</t>
  </si>
  <si>
    <t>Senna septemtrionalis</t>
  </si>
  <si>
    <t>buttercup bush</t>
  </si>
  <si>
    <t>shrub to 2 (-3)m high</t>
  </si>
  <si>
    <t>NZ Flora Online:  bank, gap, gully, open, roadside, slope, track, wasteland</t>
  </si>
  <si>
    <r>
      <t>Senna</t>
    </r>
    <r>
      <rPr>
        <sz val="11"/>
        <rFont val="Calibri"/>
        <family val="2"/>
        <scheme val="minor"/>
      </rPr>
      <t xml:space="preserve"> spp. have no structures directly aiding active seed dispersal and large seeds &gt;10 mg (Esler 1988); ballistic (West 1996); S. alata: Methods originating from parent plant or diaspore; Dispersal is delayed until some environmental cue; Direct or experimental observation; (van der Pijl, 1982, cited in Kew SID); Also dispersed by wind. The diaspore has wings or wing-like features. Diaspore dehisces explosively and is then wind dispersed. S. planitiicola: Unassisted; Seeds drop to the ground close to or beneath the parent plant; Assumption based upon diaspore morphology; (Jurado et al., 1991, cited in Kew SID)</t>
    </r>
  </si>
  <si>
    <t>Setaria helvola</t>
  </si>
  <si>
    <t>yellow bristle grass</t>
  </si>
  <si>
    <t>not in Flora or NZ Flora Online; Clayson's notes: mostly an agricultural pest</t>
  </si>
  <si>
    <t>S. italica: plant included in waterfowl diet (incl. mallard; Reynolds et al. 2015); Setaria sp. Water?; Assumption based upon diaspore morphology; (Foster et al., 1986, cited in Kew SID); S. viridis seeds germinated from sheep faeces (Eichberg et al. 2007)</t>
  </si>
  <si>
    <t>Setaria palmifolia (J.König) Stapf</t>
  </si>
  <si>
    <t>Setaria palmifolia</t>
  </si>
  <si>
    <t>palm grass</t>
  </si>
  <si>
    <t>culm 80-200cm; caryopsis not seen; very few bristles below spikelets; seed mass from Shiels 2011</t>
  </si>
  <si>
    <t>NZ Flora Online:  bank, clay, cliff, coast, dry, gorge, hill, lowland, montane, open, pasture, ridge, roadside, rock outcrop, sand, scrubland, shaded, sheltered, shrubland, silt, stone, terrace, track, wasteland; NZPCN: Disturbed and open forest, shrubland, herbfield, bare land</t>
  </si>
  <si>
    <t>Smith 1985; Shiels 2011; NZPCN</t>
  </si>
  <si>
    <t>Dispersed by dumped garden waste, soil and water movement (NZPCN). Setaria verticillata has barbed awns attached below the spikelet. When these engage in clothing or animal coats the whole inflorescence is carried away (Elser 1988, incl. illustration).</t>
  </si>
  <si>
    <t>Setaria palmifolia: no obvious dispersal mechanism; black rats destroyed almost all seeds offered in captive trials (Shiels 2011); dispersed passively or by granivorous birds (Smith 1985); S. italica: plant included in waterfowl diet (incl. mallard; Reynolds et al. 2015); Setaria verticillata: Animal; Diaspore is carried accidentally; Direct or experimental observation; Mammals (non-bat).; The diaspore has spiny, spiky, hooked or barbed projections or awns. Diaspores are released as animal brushes infloresecence and many fall close to parent plant, rather than cling to fur (van Rheede van Oudtshoorn &amp; van Rooyen, 1999, cited in Kew SID); ; S. viridis seeds germinated from sheep faeces (Eichberg et al. 2007)</t>
  </si>
  <si>
    <t>Silybum marianum</t>
  </si>
  <si>
    <t>variegated thistle</t>
  </si>
  <si>
    <t>0.5–2 m tall</t>
  </si>
  <si>
    <t>pappus, elaiosome</t>
  </si>
  <si>
    <t>Kew SID; NZPCN</t>
  </si>
  <si>
    <t>Most wind dispersal is probably within 10m of the plant. Seed can be spread in hay, by water, in mud, agricultural produce and grain, on machinery or animals (NZPCN)</t>
  </si>
  <si>
    <t>Wind; Diaspore is blown by wind; Method not stated; ; Mammals (non-bat).; Also dispersed by animals. Diaspore=achene; the seed has a pappus; achenes attach to fur of animals (Groves, 1996, cited in Kew SID). Seed has an elaiosome (Pemberton &amp; Irving 1990).</t>
  </si>
  <si>
    <t>Solanum dulcamara L.</t>
  </si>
  <si>
    <t>Solanum dulcamara</t>
  </si>
  <si>
    <t>bittersweet</t>
  </si>
  <si>
    <t>NZ Flora Online: bank, clay, coast, dry, hill, log, margin, moist, open, pasture, peat, ridge, riparian, riverbed, roadside, rock outcrop, sand, shaded, sheltered, shrubland, stone, terrace, track, wasteland</t>
  </si>
  <si>
    <t>Snow &amp; Snow 1988; Albert et al. 2015; Green 2015</t>
  </si>
  <si>
    <t>England: fruits eaten by blackbird, song thrush, starling &amp; other bird species (Snow &amp; Snow 1988). Seeds dispersal internally by deer (sometimes; Albert et al. 2015); viable seeds germinated from gull and Canada goose faeces (Green 2015); S. nigrum seeds dispersed by water birds via both endo- and ectozoochory (Reynolds &amp; Cumming 2016).</t>
  </si>
  <si>
    <t>Solanum laxum Spreng.</t>
  </si>
  <si>
    <t>Solanum laxum</t>
  </si>
  <si>
    <t>Solanum jasminoides</t>
  </si>
  <si>
    <t>potato vine</t>
  </si>
  <si>
    <t>fruit probably uncommon (Webb et al. 1988); Esler (1988) says fails to set seed but Webb at al. (1988) described fruit and seed from NZ material. Clayson's notes: Fruit rarely produced, but very commonly cultivated. No records in DOC weeds app. Was formerly known as S. jasminoides.</t>
  </si>
  <si>
    <t>fruit probably uncommon (Webb et al. 1988)</t>
  </si>
  <si>
    <t>categorised as bird-dispersed, based on fruit size, colour, and shape  (Albuquerque et al. 2006); S. nigrum seeds dispersed by water birds via both endo- and ectozoochory (Reynolds &amp; Cumming 2016).</t>
  </si>
  <si>
    <t>Solanum linnaeanum Hepper &amp; P.-M.L.Jaeger</t>
  </si>
  <si>
    <t>Solanum linnaeanum</t>
  </si>
  <si>
    <t>apple of Sodom</t>
  </si>
  <si>
    <t>shrub or subshrub to 1–(3) m tall</t>
  </si>
  <si>
    <t>NZ Flora Online: coast, hill, pasture, roadside, sand, slope, wasteland</t>
  </si>
  <si>
    <t>S. nigrum seeds dispersed by water birds via both endo- and ectozoochory (Reynolds &amp; Cumming 2016).</t>
  </si>
  <si>
    <t>Solanum marginatum</t>
  </si>
  <si>
    <t>white-edged nightshade</t>
  </si>
  <si>
    <t>medium-sized to large shrub, occasionally almost a small tree, to c. 5 m tall</t>
  </si>
  <si>
    <t>5?</t>
  </si>
  <si>
    <t>NZ Flora Online: bank, coast, hill, pasture, rock outcrop, sand, shrubland, wasteland. Flora: depleted pastures, poor rough country, forest margins, plantations, gullies, roadsides, waste places, scrub</t>
  </si>
  <si>
    <t>fruit moving in water. cannot discount dispersal by birds or other animals (DoC, 1998, cited on NZPCN website).</t>
  </si>
  <si>
    <t>Solanum mauritianum Scop.</t>
  </si>
  <si>
    <t>Solanum mauritianum</t>
  </si>
  <si>
    <t>woolly nightshade</t>
  </si>
  <si>
    <t>shrub or small tree to 10 m tall</t>
  </si>
  <si>
    <t>NZ Flora Online: bank, clay, coast, dry, hill, lowland, margin, open, pasture, roadside, rock outcrop, sand, shaded, shrubland, slope, stone, terrace, tree, wasteland. NZPCN: A lowland plant. The plant occurs in scrub and forest margin and shrubland communities. Invades pastoral land, native forest margins and urban areas.</t>
  </si>
  <si>
    <t>Timmins &amp; Mackenzie 1995; Fromont &amp; King 1992; Esler 1988; Atkinson 1997</t>
  </si>
  <si>
    <t>Effectively spread by birds. Pigeons feed on fruit occasionally (Fromont &amp; King 1992). Bird-dispersed; silvereyes peck holes in berries to feed on the pulp, which causes the fruits to collapse and become unattractive to other birds (Esler 1988). Bird-dispersed (Atkinson 1997).</t>
  </si>
  <si>
    <t>Solanum pseudocapsicum L.</t>
  </si>
  <si>
    <t>Solanum pseudocapsicum</t>
  </si>
  <si>
    <t>Solanum diflorum</t>
  </si>
  <si>
    <t>Jerusalem cherry</t>
  </si>
  <si>
    <t>shrub, 40–120–(200) cm tall</t>
  </si>
  <si>
    <t>NZ Flora Online: bank, coast, dry, forest, forest edge, lowland, margin, pasture, riparian, shrubland, terrace, wasteland</t>
  </si>
  <si>
    <t>Sorbus aucuparia L.</t>
  </si>
  <si>
    <t>Sorbus aucuparia</t>
  </si>
  <si>
    <t>rowan</t>
  </si>
  <si>
    <t>Tree up to 8–(12) m high</t>
  </si>
  <si>
    <t>NZ Flora Online: gap, hill, margin, open, pasture, sand, sheltered, shrubland, silt, slope, stone, terrace, track</t>
  </si>
  <si>
    <t>McEwen 1978; Burrows 1995; Snow &amp; Snow 1988</t>
  </si>
  <si>
    <t>seeds dispersed by kereru (McEwen 1978; Powlesland et al. unpubl. data); bird dispersed (Burrows 1995)</t>
  </si>
  <si>
    <r>
      <t xml:space="preserve">Japan: intact seeds of </t>
    </r>
    <r>
      <rPr>
        <i/>
        <sz val="11"/>
        <rFont val="Calibri"/>
        <family val="2"/>
        <scheme val="minor"/>
      </rPr>
      <t>Sorbus commixta</t>
    </r>
    <r>
      <rPr>
        <sz val="11"/>
        <rFont val="Calibri"/>
        <family val="2"/>
        <scheme val="minor"/>
      </rPr>
      <t xml:space="preserve"> found in bear droppings (Koike et al. 2008). Spain: intact seeds of </t>
    </r>
    <r>
      <rPr>
        <i/>
        <sz val="11"/>
        <rFont val="Calibri"/>
        <family val="2"/>
        <scheme val="minor"/>
      </rPr>
      <t>Sorbus aria</t>
    </r>
    <r>
      <rPr>
        <sz val="11"/>
        <rFont val="Calibri"/>
        <family val="2"/>
        <scheme val="minor"/>
      </rPr>
      <t xml:space="preserve">, </t>
    </r>
    <r>
      <rPr>
        <i/>
        <sz val="11"/>
        <rFont val="Calibri"/>
        <family val="2"/>
        <scheme val="minor"/>
      </rPr>
      <t>S. domestica</t>
    </r>
    <r>
      <rPr>
        <sz val="11"/>
        <rFont val="Calibri"/>
        <family val="2"/>
        <scheme val="minor"/>
      </rPr>
      <t xml:space="preserve"> &amp; </t>
    </r>
    <r>
      <rPr>
        <i/>
        <sz val="11"/>
        <rFont val="Calibri"/>
        <family val="2"/>
        <scheme val="minor"/>
      </rPr>
      <t>S. torminalis</t>
    </r>
    <r>
      <rPr>
        <sz val="11"/>
        <rFont val="Calibri"/>
        <family val="2"/>
        <scheme val="minor"/>
      </rPr>
      <t xml:space="preserve"> in mammal faeces (Herrera 1989). England: blackbird primary disperser, occasionally eaten by song thrush &amp; starling (Snow &amp; Snow 1988).</t>
    </r>
  </si>
  <si>
    <t>Spartina alterniflora</t>
  </si>
  <si>
    <t>American spartina</t>
  </si>
  <si>
    <t>emergent aquatic; does not produce seeds (Edgar &amp; Connor 2000)</t>
  </si>
  <si>
    <t>Spartina anglica</t>
  </si>
  <si>
    <t>cord grass</t>
  </si>
  <si>
    <t>emergent aquatic grass, 50-100 cm tall</t>
  </si>
  <si>
    <t>NZ Flora Online: bank, clay, coast, dry, flat , forest, margin, moist, open, roadside, rock outcrop, sand, shrubland, silt, stone; Estuaries, mangroves and other intertidal areas with soft sediment (NZPCN)</t>
  </si>
  <si>
    <t>Timmins &amp; Mackenzie 1995; NZPCN</t>
  </si>
  <si>
    <t>Reproduces from seed and rhizome spreading and fragments. Seed is dispersed by wind and water. Livestock, propellers nets etc dislodge rhizome fragments, tidal and current movement, intentional planting. Rhizomes can survive long time at sea, moves long distances (NZPCN); (ETNZF says attachment, water, wind)</t>
  </si>
  <si>
    <t>Spartium junceum L.</t>
  </si>
  <si>
    <t>Spartium junceum</t>
  </si>
  <si>
    <t>Spanish broom</t>
  </si>
  <si>
    <t>4 m</t>
  </si>
  <si>
    <t>Geerts et al. 2013</t>
  </si>
  <si>
    <t>seed pods burst open to disperse seeds 3-4 m from the parent plant, with secondary dispersal by ants, rain-wash, streams, agricultural products and in mud attached to animals, vehicles and road maintenance machinery (Geerts et al. 2013).</t>
  </si>
  <si>
    <t>Spiraea japonica</t>
  </si>
  <si>
    <t>Japanese spiraea</t>
  </si>
  <si>
    <t>Zasada &amp; Stickney 2009; Flaherty et al. 2018</t>
  </si>
  <si>
    <t>Spiraea spp. wind-dispersed (Zasada &amp; Stickney 2009, cited in Pate 2010 thesis); S. alba &amp; S. tomentosa seeds germinated from white-tailed deer faeces (Flaherty et al. 2018)</t>
  </si>
  <si>
    <t>Spartina ×townsendii</t>
  </si>
  <si>
    <t>spartina</t>
  </si>
  <si>
    <t>Caryopsis not developed</t>
  </si>
  <si>
    <t>Stenotaphrum secundatum (Walter) Kuntze</t>
  </si>
  <si>
    <t>Stenotaphrum secundatum</t>
  </si>
  <si>
    <t>buffalo grass</t>
  </si>
  <si>
    <t>culm to 25cm, caryopsis not seen</t>
  </si>
  <si>
    <t>NZ Flora Online: bank, clay, cliff, coast, dry, flat , grassland, lowland, moist, open, pasture, ridge, roadside, rock outcrop, sand, sheltered, shrubland, silt, slope, terrace, wasteland; NZPCN: coastal areas and occasionally young plants are found along tracks through the forest and even in the wet forest (West, 1996)</t>
  </si>
  <si>
    <t>spiked seed head</t>
  </si>
  <si>
    <t>Seeds are mostly dispersed over short distances by wind and over larger distances carried on animals (fur, feathers) and by human activity (West, 1996)</t>
  </si>
  <si>
    <t>Syzygium smithii Nied.</t>
  </si>
  <si>
    <t>Syzygium smithii</t>
  </si>
  <si>
    <t>Acmena smithii</t>
  </si>
  <si>
    <t>monkey apple</t>
  </si>
  <si>
    <t>Tree (6–15 m high in cultivation)</t>
  </si>
  <si>
    <t>Weedbusters (https://www.weedbusters.org.nz/what-are-weeds/weed-list/monkey-apple/, accessed 22/6/2023): Disturbed (occasionally intact) forests, shrublands and fernland</t>
  </si>
  <si>
    <t>baccate (berry-like)</t>
  </si>
  <si>
    <t>Fromont &amp; King 1992; Esler 1988; Karan 2000</t>
  </si>
  <si>
    <t>Produces an abundant crop of fleshy fruit dispersed only by native pigeon (Fromont &amp; King 1992). Dispersal possibly almost entirely by the native pigeon (Esler 1988). Fruits fall to the ground beneath the trees except for a few where the trees are within the feeding range of the native pigeon (Esler 1988). Fruits visited by kereru (main visitor), blackbird, sparrow, silvereye &amp; rosella. Only kereru &amp; blackbird capable of swallowing &amp; dispersing (smaller) fruits (Karan 2000). BUT silvereye &amp; maybe sparrow also probably capable of swallowing smallest fruits (D.M.W.). Kereru observed eating fruits at Waitangi, July 2006  (Clayson Howell, pers. comm. 2013).</t>
  </si>
  <si>
    <t>Tecoma capensis</t>
  </si>
  <si>
    <t>Tecomaria capensis</t>
  </si>
  <si>
    <t>Cape honeysuckle</t>
  </si>
  <si>
    <t>Semi-erect shrub, tending to ramble (Webb et al. 1988); Forms viable seeds but seedlings have not been seen (Esler 1988). NZPCN website 20/7/2022: Seed capsules are occasionally formed and this some evidence that seed is viable. Capsules are frequently produced but rarely carry viable seed</t>
  </si>
  <si>
    <t>ETNZF; NZPCN website</t>
  </si>
  <si>
    <t>wind dispersed</t>
  </si>
  <si>
    <t>T. stans: Wind; Diaspore is blown by wind; Direct or experimental observation; (Vazquez &amp; Givnish, 1998); Diaspore is winged.</t>
  </si>
  <si>
    <t>sea couch</t>
  </si>
  <si>
    <t>NZ Flora Online: clay, coast, dry, hill, log, margin, moist, open, pasture, roadside, sand, shrubland, silt, slope, track, wasteland, wetland; NZPCN: Coastal on foreshore waste land, consolidated sand near dunes, mudflats and roadsides</t>
  </si>
  <si>
    <t>Rafoufi &amp; Esnault 2006</t>
  </si>
  <si>
    <r>
      <t>Elytrigia repens</t>
    </r>
    <r>
      <rPr>
        <sz val="10"/>
        <rFont val="Arial"/>
        <family val="2"/>
      </rPr>
      <t xml:space="preserve"> has no structures directly aiding active seed dispersal and medium-sized seeds (1-10 mg) (Esler 1988).</t>
    </r>
  </si>
  <si>
    <t>Seeds may be transported over long distances via tidal currents (Rafoufi &amp; Esnault 2006); E. juncea dispersed by wind and water (Bouman et al. 2000, cited in Kew SID)</t>
  </si>
  <si>
    <t>Thunbergia alata Bojer ex Sims</t>
  </si>
  <si>
    <t>Thunbergia alata</t>
  </si>
  <si>
    <t>black-eyed Susan</t>
  </si>
  <si>
    <t>Only brief description in Flora (climbing herb); NZPCN 16 June 2022: herb; Clayson's notes: vine; not on Weedbusters website; morphological &amp; dispersal data from Quijano-Abril et al. 2022</t>
  </si>
  <si>
    <t>2-3m</t>
  </si>
  <si>
    <t>Quijano-Abril et al. 2022</t>
  </si>
  <si>
    <t>"...the expulsion of the seeds like a catapult for 2 to 3 m." (Quijano-Abril et al. 2022)</t>
  </si>
  <si>
    <t>Thymus vulgaris L.</t>
  </si>
  <si>
    <t>Thymus vulgaris</t>
  </si>
  <si>
    <t>common thyme</t>
  </si>
  <si>
    <t>NZ Flora Online: bank, dry, flat , grassland, gravel, hill, open, pasture, river terrace, riverbed, roadside, rock outcrop, slope, stone, terrace; NZPCN: Forms dominant scrub in cold dry areas.</t>
  </si>
  <si>
    <t>seeds have no structures which facilitate dispersal, dispersed up to c. 100 m based on gene flow (Gouyon et al. 1987)</t>
  </si>
  <si>
    <t>Gouyon et al. 1987</t>
  </si>
  <si>
    <t>seeds dispersed from plateau to ravines via seasonal water flow</t>
  </si>
  <si>
    <t>none of the many Thymus species in Kew SID have a dispersal mechanism reported</t>
  </si>
  <si>
    <t>Toxicodendron succedaneum (L.) Kuntze</t>
  </si>
  <si>
    <t>Toxicodendron succedaneum</t>
  </si>
  <si>
    <t>Rhus succedanea</t>
  </si>
  <si>
    <t>Japanese wax tree</t>
  </si>
  <si>
    <t>not in Flora; see Heenan et al. 2008; seed mass from Kew SID, 9 June 2022; small tree, up to 5(-8) m tall</t>
  </si>
  <si>
    <t>Heenan et al. 2008</t>
  </si>
  <si>
    <t>bird-dispersed, seedling collected under large starling roost on Middle Island (Heenan et al. 2008)</t>
  </si>
  <si>
    <t>T. diversilobum: Animal; Method not stated; (Keeley, 1991, cited in Kew SID)</t>
  </si>
  <si>
    <t>Trachycarpus fortunei</t>
  </si>
  <si>
    <t>Chinese windmill palm</t>
  </si>
  <si>
    <t>4–12 m high. Healy &amp; Edgar (1980) say "Drupes 1-3", think it might be a mistake and should say "Seeds 1-3" instead.</t>
  </si>
  <si>
    <t>NZ Flora Online: bank, clay, flat , forest edge, gully, lowland, moist, pasture, roadside, sand, shaded, sheltered, silt, stone, terrace. NZPCN: Disturbed bush and shrubland margins, river and stream edges, wetlands.</t>
  </si>
  <si>
    <t>The palms reproduce by seeds that are dispersed by birds (Esler 1988).</t>
  </si>
  <si>
    <t>Tradescantia fluminensis Vell.</t>
  </si>
  <si>
    <t>Tradescantia fluminensis</t>
  </si>
  <si>
    <t>wandering willie</t>
  </si>
  <si>
    <t>Tropaeolum majus L.</t>
  </si>
  <si>
    <t>Tropaeolum majus</t>
  </si>
  <si>
    <t>nasturtium</t>
  </si>
  <si>
    <t>NZ Flora Online: bank, clay, cliff, coast, dry, forest, forest edge, gap, gully, lowland, open, riparian, roadside, rock outcrop, sand, sheltered, slope, stone, terrace, wasteland; NZPCN: Disturbed sites, especially adjacent to gardens and dumps. Shrubland, herbfield, wetland, streamsides.</t>
  </si>
  <si>
    <t>indehiscent carpels</t>
  </si>
  <si>
    <t>Chambert &amp; James 2009; Webb et al. 1988; Esler 1988; West 1996; NZPCN</t>
  </si>
  <si>
    <t>has no structures directly aiding active seed dispersal and large seeds &gt;10 mg (Esler 1988); Dispersal is through garden dumping and clonal spread and birds may disperse seeds (NZPCN)</t>
  </si>
  <si>
    <t>seeds are buoyant (Chambert &amp; James 2009)</t>
  </si>
  <si>
    <t>Tropaeolum speciosum Poepp. &amp; Endl.</t>
  </si>
  <si>
    <t>Tropaeolum speciosum</t>
  </si>
  <si>
    <t>Chilean flame creeper</t>
  </si>
  <si>
    <t>measurements and seed numbers are for each individual carpel (three carpels in total): carpels are separate dispersal units</t>
  </si>
  <si>
    <t>NZ Flora Online: bank, coast, dry, forest, forest edge, gap, hill, log, lowland, margin, moist, open, pasture, riparian, roadside, sand, shaded, sheltered, shrubland, slope, stone, terrace, track, wasteland. NZPCN: Mainly remnant stands of forest, also scrub, sometimes found in more remote forest clearings.</t>
  </si>
  <si>
    <t>Burrows 1995; Ridley 1998; Spurr et al. 2011</t>
  </si>
  <si>
    <t>seeds dispersed by birds (Burrows 1995); fruits eaten by bellbirds (Spurr et al. 2011)</t>
  </si>
  <si>
    <t>Tussilago farfara L.</t>
  </si>
  <si>
    <t>Tussilago farfara</t>
  </si>
  <si>
    <t>coltsfoot</t>
  </si>
  <si>
    <t>infl. 5-30cm tall</t>
  </si>
  <si>
    <t>NZ Flora Online:  gravel, moist, roadside, sand, stone</t>
  </si>
  <si>
    <t>Ridley 1930 and Bouman et al. 2000, cited in Kew Seed Information Database</t>
  </si>
  <si>
    <t>Diaspore is blown by wind  (Ridley 1930 and Bouman et al. 2000, cited in Kew Seed Information Database) and seed is plumed (Ridley 1930, cited in Kew SID)</t>
  </si>
  <si>
    <t>Ugni molinae Turcz.</t>
  </si>
  <si>
    <t>Ugni molinae</t>
  </si>
  <si>
    <t>strawberry myrtle</t>
  </si>
  <si>
    <t>shrub, 1–2 m high</t>
  </si>
  <si>
    <t>NZ Flora Online:  coast, fernland, margin, moist, pasture, peat, roadside, shrubland</t>
  </si>
  <si>
    <t>Mora &amp; Smith-Ramirez 2016; NZPCN</t>
  </si>
  <si>
    <t>Bird dispersed fruits (NZPCN); seeds dispersed by birds, but wind-dispersed seeds in whole fruits do not germinate under field conditions (Mora &amp; Smith-Ramirez 2016)</t>
  </si>
  <si>
    <t>Ulex europaeus L.</t>
  </si>
  <si>
    <t>Ulex europaeus</t>
  </si>
  <si>
    <t>gorse</t>
  </si>
  <si>
    <t>NZ Flora Online: bank, clay, coast, dry, forest, forest edge, gap, grassland, gravel, gully, hill, lake margin, lowland, margin, open, pasture, riverbed, roadside, sand, sheltered, shrubland, silt, slope, stone, terrace, wasteland; NZPCN: coastal and lowland habitats. The plant occurs in sites with low - low/modertate fertility. It is common in disturbed areas and can tolerate a wide range of conditions and soil types allowing it to establish in most areas. It is more abundant in waste places, riverbeds and poorer land than it is in developed and fertile land. It occurs in scrub and forest margin, shrubland, fernland and riverbed communities and grassland, shrubland, forest margins, coastal habitats and waste places. It occurs in rough foothills and less-intensively farmed areas and is often abundant in disturbed lowland and lower montane places. It is a plant that often aggressively invades rough pasture.</t>
  </si>
  <si>
    <t>6 m</t>
  </si>
  <si>
    <t>Smith 1985; Webb et al. 1988; Pemberton &amp; Irving 1990; Cronk &amp; Fuller 1995; Atkinson 1997; Reynolds et al. 2015; Roberts &amp; Florentine 2021</t>
  </si>
  <si>
    <t>ovary wall propels seeds by the violent parting of valves; has no structures directly aiding active seed dispersal and medium-sized seeds (1-10 mg) (Esler 1988). Explosive seed capsules (Atkinson 1997); Seed is dispersed by an explosive mechanism and gravity, Seed pods disperse seed up to 6 metres from the parent plant, Machinery assists seed dispersal, Some seed is carried by water and shingle and by gravel, soil and birds (NZPCN).</t>
  </si>
  <si>
    <t>explosively dehiscent (Cronk &amp; Fuller 1995); experimental feeding trials showed viable seeds recovered from duck faeces (Reynolds et al. 2015); Seeds are forcibly ejected up to 3m from the parent plant, long-distance dispersal is effected by man or by capsules attached to branches entangled in mammal pelage [fur, hair or wool of mammal] (Smith 1985). Seeds dispersed by explosively dehiscent pods, zoochory, humans, water and ants (Roberts &amp; Florentine 2021 and refs therein). Seed has an elaiosome (Pemberton &amp; Irving 1990)</t>
  </si>
  <si>
    <t>Undaria pinnatifida (Harv.) Suringar</t>
  </si>
  <si>
    <t>Undaria pinnatifida</t>
  </si>
  <si>
    <t>seaweed</t>
  </si>
  <si>
    <t>Utricularia gibba L.</t>
  </si>
  <si>
    <t>Utricularia gibba</t>
  </si>
  <si>
    <t>U. biflora</t>
  </si>
  <si>
    <t>bladderwort</t>
  </si>
  <si>
    <t>inflorescence is erect, emergent or submersed, up to 30 cm long</t>
  </si>
  <si>
    <t>NZ Flora Online: coast, moist, sand; NZPCN: Most freshwater habitats, especially acidic and nutrient rich water, Tolerant of clean or nutrient-rich, warm or cold, still or slow-moving water</t>
  </si>
  <si>
    <t>Winton et al. 2009; NZPCN</t>
  </si>
  <si>
    <t>Seed dispersed by waterfowl (Winton et al 2009); Reproduces freely by seeds, turions, stem fragments. Forms dense mats. Dispersed by Water movement, dumped aquaria contents, contaminated machinery, eel nets, boats and trailers. Seed spread by water fowl (NZPCN Factsheet prepared by Paul Champion and Deborah Hofstra (NIWA)).</t>
  </si>
  <si>
    <t>Vallisneria australis S.W.L.Jacobs &amp; Les</t>
  </si>
  <si>
    <t>Vallisneria australis</t>
  </si>
  <si>
    <t>eel grass</t>
  </si>
  <si>
    <t>There is no evidence of viable seed production in New Zealand, submerged, flower stem straight (NZPCN)</t>
  </si>
  <si>
    <t>NZPCN: Moderately fast flowing to still water bodies. Colonises lake-bed sediment in water up to 9m deep.</t>
  </si>
  <si>
    <t>poor dispersal capacity has limited current spread (NZPCN Factsheet prepared by Paul Champion and Deborah Hofstra (NIWA))</t>
  </si>
  <si>
    <t>Verbascum thapsus L.</t>
  </si>
  <si>
    <t>Verbascum thapsus</t>
  </si>
  <si>
    <t>woolly mullein</t>
  </si>
  <si>
    <t>stems to c. 1 m tall, infl. to c. 80cm high</t>
  </si>
  <si>
    <t>NZPCN: Roadsides, waste places, pasture</t>
  </si>
  <si>
    <t>11 m</t>
  </si>
  <si>
    <t>Gross 1980; McIntyre et al. 1995; Smith 1985</t>
  </si>
  <si>
    <t>seeds have no specialized structures for long-distance dispersal, seed deposition is localised (Gross &amp; Werner 1978; Gross 1980); seeds are wind-dispersed (Smith 1985); seeds dispersed up to 11 m, 93% of seeds fall within 5 m, and 75% within 1 m (Gross &amp; Werner 1978). Undefined seed dispersal morphology (McIntyre et al. 1995)</t>
  </si>
  <si>
    <t>Vinca major L.</t>
  </si>
  <si>
    <t>Vinca major</t>
  </si>
  <si>
    <t>periwinkle</t>
  </si>
  <si>
    <t>forms dense mats; seed mass from V. major subsp. hirsuta</t>
  </si>
  <si>
    <t>NZ Flora Online:  bank, clay, cliff, coast, dry, forest, forest edge, hill, lowland, margin, moist, open, pasture, riparian, roadside, rock outcrop, shaded, sheltered, shrubland, stone, wasteland; NZPCN: Waste places, particularly in the shade of trees by riverbanks, roadsides, cemeteries and around gardens</t>
  </si>
  <si>
    <t>dehiscent follicle</t>
  </si>
  <si>
    <t>Honnay et al. 1999</t>
  </si>
  <si>
    <t>V. minor ant-dispersed (Honnay et al. 1999)</t>
  </si>
  <si>
    <t>Vitis vinifera L.</t>
  </si>
  <si>
    <t>Vitis vinifera</t>
  </si>
  <si>
    <t>grape</t>
  </si>
  <si>
    <t>Reproduces mainly by stem layering (Webb et al., 1988). Fruit is freely produced but most wild spread is not by seed. Many of the cultivated grapes are actually hybrids which may affect spread from seed. (NZPCN)</t>
  </si>
  <si>
    <t>NZ Flora Online: bank, clay, coast, dry, forest edge, gravel, gully, loam, lowland, margin, moist, open, roadside, sand, scrubland, sheltered, shrubland, terrace, wasteland. NZPCN: Around old gardens and dump sites, sometimes along roadsides.</t>
  </si>
  <si>
    <t>Gibb 2000; Anderson 2006; Spurr 2011; Herrera 1989; Green 2015</t>
  </si>
  <si>
    <t>Vitis spp. fruits eaten by bellbirds (Spurr et al. 2011)</t>
  </si>
  <si>
    <t>Spain: intact seeds in carnivorous mammal faeces (Herrera 1989). Intact seeds found in heron faeces predating lizards (secondary dispersal; Green 2015)</t>
  </si>
  <si>
    <t>Watsonia meriana</t>
  </si>
  <si>
    <t>Watsonia meriana var. bulbillifera; Watsonia bulbillifera</t>
  </si>
  <si>
    <t>watsonia</t>
  </si>
  <si>
    <t>capsule not seen (Webb et al. 1988); does not form seed (Esler 1988)</t>
  </si>
  <si>
    <t>Yucca gloriosa L.</t>
  </si>
  <si>
    <t>Yucca gloriosa</t>
  </si>
  <si>
    <t>mound-lily yucca, Spanish dagger</t>
  </si>
  <si>
    <t>not in Flora; no data in Kew SID; NZPCN: erect shrub, 1.8-2.4 m spike of fragrant flowers; Ogle &amp; La Cock 2019: do not appear to set seed</t>
  </si>
  <si>
    <t>Zantedeschia aethiopica</t>
  </si>
  <si>
    <t>arum lily</t>
  </si>
  <si>
    <t>to 1.5 m high</t>
  </si>
  <si>
    <t>NZ Flora Online: bank, clay, coast, forest edge, lake margin, lowland, margin, moist, open, pasture, roadside, shaded, sheltered, silt, slope, terrace, wasteland. NZPCN: Swampy areas, often under willows and damp pasture and waste land.</t>
  </si>
  <si>
    <t>wide distribution of seedlings suggests that it is bird-dispersed (Esler 1988). Seeds dispersed by water movement, birds and other animals, local clonal spread by rhizomes, with longer distance spread by water movement, deliberate planting and garden discards (NZPCN Factsheet prepared by Paul Champion and Deborah Hofstra (NIWA)).</t>
  </si>
  <si>
    <t>Australia: seed found in silvereye dropping (Stansbury 2001)</t>
  </si>
  <si>
    <t>Zizania latifolia</t>
  </si>
  <si>
    <t>Manchurian wild rice</t>
  </si>
  <si>
    <t>aquatic reed.</t>
  </si>
  <si>
    <t>NZ Flora Online: bank, coast, lake margin, margin, pasture, riparian, roadside, sand; NZPCN: Lowland still and slow flowing water bodies (both resh water or moderately saline)</t>
  </si>
  <si>
    <t>seeds buoyant for about 1 day</t>
  </si>
  <si>
    <t>attachment or internal</t>
  </si>
  <si>
    <t>Timmins &amp; MacKenzie 1995; Chen et al. 2012; NZPCN; Kew SID</t>
  </si>
  <si>
    <t xml:space="preserve"> Water dispersed (Timmins &amp; MacKenzie 1995); Seeds and rhizome fragments spread via water, livestock, machinery, e.g. graders, dumping of green waste, eel nets, boats and trailers, clothing and possibly by birds (NZPCN Factsheet prepared by Paul Champion and Deborah Hofstra (NIWA); (ETNZF says attachment, water, wind)</t>
  </si>
  <si>
    <t>Zizania spp. water dispersed (Cook 1987, cited in Kew SID); seeds possibly dispersed by waterfowl (Chen et al. 2012)</t>
  </si>
  <si>
    <t>Data for manuscript reviewing seed dispersal of environmental weeds in NZ, focused on dry-fruited species but including data on all species</t>
  </si>
  <si>
    <t>species name with taxonomic authority</t>
  </si>
  <si>
    <t>species name</t>
  </si>
  <si>
    <t>known synonyms (in several cases species are listed in the literature/databases under different names)</t>
  </si>
  <si>
    <t>herb, grass, rush, sedge, shrub, tree, vine, shrub-tree (can be either a shrub or a small tree)</t>
  </si>
  <si>
    <t>maximum plant height in metres (or height of fruiting structure, whichever is greater), excluding extreme values</t>
  </si>
  <si>
    <t>description for any habitats where the species occurs</t>
  </si>
  <si>
    <t>fruit type e.g. pod, caryopsis etc.</t>
  </si>
  <si>
    <t>categories for excluding some species from dataset based on fruit type (fleshy, dry) or plant groups that lack seeds (fern, fern ally, moss, seaweed), also based on habitat (aquatic: aquatic species initially considered for exclusion)</t>
  </si>
  <si>
    <t>description of seed dispersal adaptations, may include more than one</t>
  </si>
  <si>
    <t>mass (grams) of one seed; data from Kew Seed Information Database (https://ser-sid.org/), unless otherwise stated.</t>
  </si>
  <si>
    <t>alternative seed dispersal mechanism - number generally indicates how common the mechanism is or is likely to be, if known, with lower numbers more common</t>
  </si>
  <si>
    <t>description of seed dispersal distances</t>
  </si>
  <si>
    <t>references used to assign seed dispersal mechanisms and adaptations</t>
  </si>
  <si>
    <t>notes from NZ publications and databases</t>
  </si>
  <si>
    <t>notes from overseas publications and databases</t>
  </si>
  <si>
    <t>noted where dispersal mechanism categorised by DW, usually when no information available in published literature and clear dispersal mechanism present e.g. pappus or winged seed</t>
  </si>
  <si>
    <t>species produces seed in NZ: none = no seed produced in NZ, rare = seed only occasionally produced in NZ, blank - seed produced in NZ</t>
  </si>
  <si>
    <t>date website accessed</t>
  </si>
  <si>
    <t>wind.none</t>
  </si>
  <si>
    <r>
      <t xml:space="preserve">Japan: intact seeds of </t>
    </r>
    <r>
      <rPr>
        <i/>
        <sz val="11"/>
        <rFont val="Calibri"/>
        <family val="2"/>
        <scheme val="minor"/>
      </rPr>
      <t>Akebia</t>
    </r>
    <r>
      <rPr>
        <sz val="11"/>
        <rFont val="Calibri"/>
        <family val="2"/>
        <scheme val="minor"/>
      </rPr>
      <t xml:space="preserve"> spp. (</t>
    </r>
    <r>
      <rPr>
        <i/>
        <sz val="11"/>
        <rFont val="Calibri"/>
        <family val="2"/>
        <scheme val="minor"/>
      </rPr>
      <t>A. quinata</t>
    </r>
    <r>
      <rPr>
        <sz val="11"/>
        <rFont val="Calibri"/>
        <family val="2"/>
        <scheme val="minor"/>
      </rPr>
      <t xml:space="preserve"> &amp; </t>
    </r>
    <r>
      <rPr>
        <i/>
        <sz val="11"/>
        <rFont val="Calibri"/>
        <family val="2"/>
        <scheme val="minor"/>
      </rPr>
      <t>A. trifoliata</t>
    </r>
    <r>
      <rPr>
        <sz val="11"/>
        <rFont val="Calibri"/>
        <family val="2"/>
        <scheme val="minor"/>
      </rPr>
      <t>) found in mammal droppings - bear, marten, badger, fox &amp; racoon dog (Koike et al. 2008). Japan: intact seeds found in bear droppings (Takahashi et al. 2008).</t>
    </r>
  </si>
  <si>
    <t>Wind; Diaspore is blown by wind; Method not stated; (Bouman et al., 2000)</t>
  </si>
  <si>
    <t>Water; Method not stated; (US Forest Service Institute of Pacific Isl&amp;s Forestry, 2001); Also dispersed via vegetative spread.</t>
  </si>
  <si>
    <t>hypanthium; berry (Esler 1988)</t>
  </si>
  <si>
    <t>subshrub, seed not seen (Webb et al. 1988); Some seed produced (NZPCN website)</t>
  </si>
  <si>
    <t>Wind; Diaspore is blown by wind; Direct or experimental observation; (Ridley, 1930); Also dispersed via vegetative spread. Diaspore=spikelet. The seed is plumed.</t>
  </si>
  <si>
    <t xml:space="preserve">Climber; Fruit not seen, viable seed is not formed in NZ (Webb et al. 1988); Has occasional seeds which seemingly contribute nothing to the dispersal of the species (Esler 1988). Viable seed was not thought to be formed in New Zealand (Webb et. al. 1988; Department of Conservation 1996). However, in 1996 a plant was found in the Bay of Plenty producing large amounts of seed with seedlings nearby (Ford, 1998, cited in NZPCN website).
</t>
  </si>
  <si>
    <t>NZ unlikely to have animals that would eat spiny fruits (except maybe pigs?), and wind dispersal through shaking capsule is not a particular adaptation.</t>
  </si>
  <si>
    <t>bird nesting material?</t>
  </si>
  <si>
    <t>scatterhoarding? (possibly rats in NZ?)</t>
  </si>
  <si>
    <t>Animal; Diaspore is carried intentionally; Method not stated; (Bouman et al. 2000, cited in Kew SID)</t>
  </si>
  <si>
    <t>seed dispersal behavior of kudzu is still not clear (Harron et al. 2020); Aurambout &amp; Endress 2018: The importance of seed dispersal in the spread of kudzu is not clear and while some sources report kudzu seeds disperse less than six meters from the mother plant (Hipps, 1994, Pappert et al., 2000), others note potential dispersal across moderate distance via mammals and birds (EPPO, 2007). Anecdotal evidence indicates kudzu seedlings have been found hundreds of meters away from known source populations, suggesting possible seed dispersal (Boyda, 2013).</t>
  </si>
  <si>
    <t>NZ Flora Online: coast, lake margin, lowland, margin, moist, open, pasture, sand, shaded, sheltered, silt, stone; NZPCN: riparian areas along rivers and lakes.</t>
  </si>
  <si>
    <t>NZ Flora Online: alpine, bank, clay, cliff, dry, flat , forest, forest edge, grassland, gravel, hill, lake margin, loam, margin, moist, montane, open, pasture, roadside, rock outcrop, scree, sheltered, shrubland, silt, slope, terrace, track, tussockland, wasteland. NZPCN: A plant of lowland, montane and subalpine habitats, grows in low fertility sites in shrubland, tussockland and riverbeds.</t>
  </si>
  <si>
    <t>Heenan et al. 2008: Coastal indigenous vegetation, urban gardens, and wasteland</t>
  </si>
  <si>
    <t>riparian = occurs on banks of rivers or streams, river terraces, in river or stream beds, or aquatic species in rivers, streams or flowing water bodies.</t>
  </si>
  <si>
    <t>seeds dispersed by birds as nesting material (Dean et al. 1990). E. stipoides dispersed by animals via attachment, awned fruits easily dispersed on animal fur</t>
  </si>
  <si>
    <t>bird nesting material</t>
  </si>
  <si>
    <t>Wind; Diaspore is blown by wind; Assumption based upon diaspore morphology; (McIntyre et al., 1995, cited in Kew SID). Unassisted; Seeds drop to the ground close to or beneath the parent plant; Assumption based upon diaspore morphology; (Jurado et al., 1991, cited in Kew SID); seeds dispersed internally by deer (sometimes; Albert et al. 2015); seeds germinated from sheep faeces (Eichberg et al. 2007); wind-dispersed (McIntyre et al. 1995). seeds dispersed by birds in nesting material (Dean et al. 1990)</t>
  </si>
  <si>
    <t>not in Flora; 1-3 (-4.2) m tall,  (NZPCN); Seeds of New Zealand plants sampled from Port Waikato, though viable, have not been observed to germinate in the wild (de Lange et al. 1998)</t>
  </si>
  <si>
    <t>scatterhoarding</t>
  </si>
  <si>
    <t>Weedbusters https://www.weedbusters.org.nz/what-are-weeds/weed-list/japanese-walnut/</t>
  </si>
  <si>
    <t>also possible scatterhoarding by rats in NZ?</t>
  </si>
  <si>
    <t>Spreads by water [streams], occasionally dumped nuts, possibly by pigs or possums, vavoured habitat of rats (Weedbusters https://www.weedbusters.org.nz/what-are-weeds/weed-list/japanese-walnut/). Seedlings sometimes appear in large numbers in the vicinity of parents (Webb et al. 1988). has no structures directly aiding active dispersal and large seeds (&gt;10 mg) (Esler 1988).</t>
  </si>
  <si>
    <t>primary seed dispersal mechanism: ant (myrmecochory, ant-dispersed); attachment (ectozoochory, dispersed by external attachment to animals); ballistic (self-propelled seeds via explosive dehiscence); internal (endozoochory, dispersal by animal frugivore or granivore gut passage); water (dispersed by water, includes rivers, streams, sea, estuaries, lakes, and seasonal surface flowing water); wind (wind-dispersed with special adaptations - wings or plume only; excludes adaptations such as small seed size or hairy seeds/fruits); wind.none (wind dispersed but no special adaptations); bird nesting material (seeds dispersed by birds when transporting material to build nests); scatterhoarding (seeds dispersed by animals caching food); unknown (no dispersal mechanisms currently known); in a few instances seed reported as dispersed by water birds but it was not stated whether seeds were dispersed via attachment or internally - in these cases mechanism was assigned to internal, which is more likely.</t>
  </si>
  <si>
    <t>Acacia sophorae</t>
  </si>
  <si>
    <t>Acer negundo</t>
  </si>
  <si>
    <t>Adiantum raddianum</t>
  </si>
  <si>
    <t>Caulerpus brachypus</t>
  </si>
  <si>
    <t>Cyrtomium falcatum</t>
  </si>
  <si>
    <t>Dryopteris affinis</t>
  </si>
  <si>
    <t>Helosciadium nodiflorum</t>
  </si>
  <si>
    <t>Lomatia fraseri</t>
  </si>
  <si>
    <t>Luma apiculata</t>
  </si>
  <si>
    <t>Pinus monticola</t>
  </si>
  <si>
    <t>Pinus thunbergii</t>
  </si>
  <si>
    <t>Prunus lusitanica</t>
  </si>
  <si>
    <t xml:space="preserve">Sphaeropteris cooperi </t>
  </si>
  <si>
    <t>Thinopyrum obtusiflorum</t>
  </si>
  <si>
    <t>Cenchrus macrourus; Pennisetum macrourum</t>
  </si>
  <si>
    <t>Cenchrus caudatus</t>
  </si>
  <si>
    <t>Setaria pumila</t>
  </si>
  <si>
    <t>Kalanchoe pinnata</t>
  </si>
  <si>
    <t>Syzygium australe</t>
  </si>
  <si>
    <t>Rhaphiolepis umbellata</t>
  </si>
  <si>
    <t>Cytisus proliferus; Chamaecytisus palmensis</t>
  </si>
  <si>
    <t>Chamaecytisus prolifer</t>
  </si>
  <si>
    <t>Ligustrum vulgare</t>
  </si>
  <si>
    <t>coastal wattle</t>
  </si>
  <si>
    <t>Seed is spread locally by wind, sand and gravity, stem layering is also of some importance (NZPCN).</t>
  </si>
  <si>
    <t>Acacia longifolia var. Sophorae; Acacia longifolia subsp. sophorae</t>
  </si>
  <si>
    <t>shrub 1-3 m high (NZPCN)</t>
  </si>
  <si>
    <t>NZPCN: sand dunes</t>
  </si>
  <si>
    <t>NZPCN; O'Dowd &amp; Gill 1986, cited in Kew SID</t>
  </si>
  <si>
    <t>dispersed by ants and birds, direct or experimental observation (O'Dowd &amp; Gill 1986, cited in Kew SID)</t>
  </si>
  <si>
    <t>box elder</t>
  </si>
  <si>
    <t>tree to c. 17 m high</t>
  </si>
  <si>
    <t>Matlack 1987</t>
  </si>
  <si>
    <t>41.1 m estimated lateral distance in a 10 km/hr breeze (Matlack 1987)</t>
  </si>
  <si>
    <t>Webb et al. 1988: Large shrub or small tree to c. 10 m high, fruit berry-like; GBIF 16 June 2022 https://www.gbif.org/species/5417812; plant data from Figueiredo et al. 2019 https://journals.sagepub.com/doi/full/10.1177/1934578X19892439. shrub that can grow to a height of 0.5-3.0 m</t>
  </si>
  <si>
    <t>Webb et al. 1988: roadside banks or in scrub near gardens, or disturbed and rather open forest remnants;</t>
  </si>
  <si>
    <t>fleshy fruits are dispersed by birds (Webb et al. 1988)</t>
  </si>
  <si>
    <t>water celery</t>
  </si>
  <si>
    <t>Apium nodiflorum</t>
  </si>
  <si>
    <t>sprawling emergent aquatic perennial that can grow over a metre high</t>
  </si>
  <si>
    <t>NZPCN: Shallow water ponds, drains, and the margins of slow moving streams</t>
  </si>
  <si>
    <t>Zidon et al. 2016</t>
  </si>
  <si>
    <t>seed germinated from Persian fallow deer faeces (Zidon et al. 2016, as Apium nodiflorum)</t>
  </si>
  <si>
    <t>Costea et al. 2016; Oveisi et al. 2020; Zidon et al. 2016; DOC: https://www.doc.govt.nz/contentassets/fcebada855be443a89ba27f28b352140/factsheet-golden-dodder.pdf, accessed 14 April 2023.</t>
  </si>
  <si>
    <t>viable seeds found after passage through gut of wild waterfowl (Costea et al. 2016); viable seeds found in sheep and goat faeces after feeding trials (Oveisi et al. 2020); viable seeds found in Persian fallow deer faeces (Zidon et al. 2016).</t>
  </si>
  <si>
    <t>hops</t>
  </si>
  <si>
    <t>bract around achene acts as a wing (SID)</t>
  </si>
  <si>
    <t>SID</t>
  </si>
  <si>
    <t>Webb et al. 1988: waste places, riverbanks, deserted gardens, often scrambling over scrub or trees at forest margins; NZ Flora Online:  bank, clay, coast, dry, forest edge, gap, gravel, hill, lowland, margin, open, pasture, river terrace, roadside, sand, scrubland, sheltered, shrubland, silt, slope, stone, terrace, track, wasteland</t>
  </si>
  <si>
    <t>common privet</t>
  </si>
  <si>
    <t>misidentified as Syringa vulgaris; shrub or occasionally a small tree to 5 m tall</t>
  </si>
  <si>
    <t>Webb et al. 1988: waste land, roadside banks and in and around modified forest remnants</t>
  </si>
  <si>
    <t>dispersed by birds, direct or experimental observation (SID)</t>
  </si>
  <si>
    <t>Salix purpurea</t>
  </si>
  <si>
    <t>Humulus lupulus</t>
  </si>
  <si>
    <t>not on NZPCN website. See Perrie &amp; Shepherd 2021 for species details. Shrub or small tree to at least 4 m high.</t>
  </si>
  <si>
    <t>Perrie &amp; Shepherd 2021</t>
  </si>
  <si>
    <t>has winged seeds, which aid wind dispersal (Perrie &amp; Shepherd 2021)</t>
  </si>
  <si>
    <t>Perrie &amp; Shepherd 2021: in disturbed firebreak, under manuka and kanuka and in regenerating forest.</t>
  </si>
  <si>
    <t>tree lomatia</t>
  </si>
  <si>
    <t>fruits are bird dispersed (Heenan et al. 2004)</t>
  </si>
  <si>
    <t>Heenan et al. 2004</t>
  </si>
  <si>
    <t>Myrtus luma</t>
  </si>
  <si>
    <t>Chilean myrtle or arrayan</t>
  </si>
  <si>
    <t>Sykes 2002: mixed podocarp-hardwood stand</t>
  </si>
  <si>
    <t>see Sykes 2002 for species details. Small tree to 7 or 8 m high. Seed mass from Lusk &amp; Kelly 2003</t>
  </si>
  <si>
    <t>western white pine</t>
  </si>
  <si>
    <t>wind dispersed, diaspore has wings (SID)</t>
  </si>
  <si>
    <t>Japanese black pine</t>
  </si>
  <si>
    <t>Ledgard 2002; SID</t>
  </si>
  <si>
    <t>plants have spread out for up to 5 km from the source, seeds fairly heavy but cones are well positioned for dispersal hanging from tips of branches outside the canopy (Ledgard 2002)</t>
  </si>
  <si>
    <t>up to 40 km recorded (Ledgard 2002)</t>
  </si>
  <si>
    <t>tree to 30 m tall in native range (http://www.efloras.org/florataxon.aspx?flora_id=2&amp;taxon_id=200005368) but up to 50 ft in non-native range in USA (https://plants.sc.egov.usda.gov/home/plantProfile?symbol=PITH2)</t>
  </si>
  <si>
    <t>dispersal inferred based on seed characteristics and related species</t>
  </si>
  <si>
    <t>Portugese laurel</t>
  </si>
  <si>
    <t>large shrub or small tree to c. 7 m high in wild</t>
  </si>
  <si>
    <t>Webb et al. 1988: coastal forest, plantations, windbreaks, shrubberies</t>
  </si>
  <si>
    <t>seeds are spread by birds (Webb et al. 1988)</t>
  </si>
  <si>
    <t>medium to tall tree usu. to c. 35 m, occasionally to over 60 m in the wild (Miller 2016)</t>
  </si>
  <si>
    <t>purple osier</t>
  </si>
  <si>
    <t>shrub or small tree to about 8 m high (van Kraayenoord et al. 1995)</t>
  </si>
  <si>
    <t>NZ Flora Online: riparian</t>
  </si>
  <si>
    <t>van Kraayenoord et al. 1995</t>
  </si>
  <si>
    <t>osier willows …become established easily from wind or water-borne seeds (van Kraayenoord et al. 1995)</t>
  </si>
  <si>
    <t>tall wheatgrass</t>
  </si>
  <si>
    <t>We suspect that the seed may have been moved around in hay and within the gut of cattle (Rob Simons, Marlborough District Council on notes recorded with herbarium specimen)</t>
  </si>
  <si>
    <t>Rob Simons</t>
  </si>
  <si>
    <t>capsules not seen (Webb et al. 1988); Seed capsules have not been seen in NZ (NZPCN website, accessed 13 April 2023). Shrub 50 - (70) cm high.</t>
  </si>
  <si>
    <t xml:space="preserve">Acacia sophorae (Labill.) R.Br. </t>
  </si>
  <si>
    <t>Acer negundo L.</t>
  </si>
  <si>
    <t>Adiantum raddianum C.Presl.</t>
  </si>
  <si>
    <t>Alocasia brisbanensis (F.M.Bailey) Domin</t>
  </si>
  <si>
    <t>Ammophila arenaria (L.) Link</t>
  </si>
  <si>
    <t>Archontophoenix cunninghamiana (H.Wendl.) H.Wendl. &amp; Drude</t>
  </si>
  <si>
    <t>Arctium minus (Hill) Bernh.</t>
  </si>
  <si>
    <t>Asparagus asparagoides (L.) Druce</t>
  </si>
  <si>
    <t>Bomarea multiflora (L.f.) Mirb.</t>
  </si>
  <si>
    <t>Calystegia silvatica (Kit.) Griseb.</t>
  </si>
  <si>
    <t>Carex longibrachiata Boeckeler</t>
  </si>
  <si>
    <t>Carpobrotus chilensis (Molina) N.E.Br.</t>
  </si>
  <si>
    <t>Carpobrotus edulis (L.) N.E.Br.</t>
  </si>
  <si>
    <t>Caulerpa brachypus Harv.</t>
  </si>
  <si>
    <t>Celastrus orbiculatus Thunb.</t>
  </si>
  <si>
    <t>Cenchrus alopecuroides (L.) Thunb.</t>
  </si>
  <si>
    <t>Centranthus ruber (L.) DC.</t>
  </si>
  <si>
    <t>Cestrum fasciculatum (Schltdl.) Miers</t>
  </si>
  <si>
    <t>Chamaecytisus prolifer (L.f.) Link</t>
  </si>
  <si>
    <t>Cortaderia jubata (Lemoine) Stapf</t>
  </si>
  <si>
    <t>Cortaderia selloana  (Schult. &amp; Schult.f.) Asch. &amp; Graebn.</t>
  </si>
  <si>
    <t>Cotoneaster franchetii Boiss.</t>
  </si>
  <si>
    <t>Cotoneaster simonsii Baker</t>
  </si>
  <si>
    <t>Cyrtomium falcatum (L.f.) C.Presl</t>
  </si>
  <si>
    <t>Cytisus multiflorus (L’Hér.) Sweet</t>
  </si>
  <si>
    <r>
      <t>Dryopteris affinis (Lowe) Fraser-Jenk</t>
    </r>
    <r>
      <rPr>
        <sz val="10"/>
        <color rgb="FF000000"/>
        <rFont val="Times New Roman"/>
        <family val="1"/>
      </rPr>
      <t>.</t>
    </r>
  </si>
  <si>
    <t>Ehrharta villosa Schult.f.</t>
  </si>
  <si>
    <r>
      <t xml:space="preserve">Elaeagnus </t>
    </r>
    <r>
      <rPr>
        <sz val="11"/>
        <color theme="1"/>
        <rFont val="Calibri"/>
        <family val="2"/>
      </rPr>
      <t>×</t>
    </r>
    <r>
      <rPr>
        <sz val="11"/>
        <color theme="1"/>
        <rFont val="Calibri"/>
        <family val="2"/>
        <scheme val="minor"/>
      </rPr>
      <t>reflexa E.Morr. &amp; Decne.</t>
    </r>
  </si>
  <si>
    <t>Embothrium coccineum J.R.Forst. &amp; G.Forst.</t>
  </si>
  <si>
    <t>Eragrostis curvula (Schrad.) Nees</t>
  </si>
  <si>
    <t>Eucalyptus delegatensis F.Muell. ex R.T.Baker</t>
  </si>
  <si>
    <t>Euphorbia paralias L.</t>
  </si>
  <si>
    <t>Fatsia japonica (Thunb.) Decne. &amp; Planch.</t>
  </si>
  <si>
    <t>Furcraea foetida (L.) Haw.</t>
  </si>
  <si>
    <t>Glyceria declinata Bréb.</t>
  </si>
  <si>
    <t>Glyceria fluitans (L.) R.Br.</t>
  </si>
  <si>
    <t>Glyceria maxima (Hartm.) Holmb.</t>
  </si>
  <si>
    <t>Hakea gibbosa (Sm.) Cav.</t>
  </si>
  <si>
    <t>Hakea sericea Schrad. &amp; J.C.Wendl.</t>
  </si>
  <si>
    <t>Hedychium gardnerianum Sheph. ex Ker Gawl.</t>
  </si>
  <si>
    <t>Helosciadium nodiflorum (L.) W.D.J.Koch</t>
  </si>
  <si>
    <t>Humulus lupulus L.</t>
  </si>
  <si>
    <t>Ipomoea indica (Burm.) Merr.</t>
  </si>
  <si>
    <t>Juglans ailantifolia Carrière</t>
  </si>
  <si>
    <r>
      <t>Kalanchoe pinnata</t>
    </r>
    <r>
      <rPr>
        <sz val="11"/>
        <color theme="1"/>
        <rFont val="Calibri"/>
        <family val="2"/>
        <scheme val="minor"/>
      </rPr>
      <t> (Lam.) Pers.</t>
    </r>
  </si>
  <si>
    <t>Lagunaria patersonia (Andrews) G.Don</t>
  </si>
  <si>
    <t>Leptospermum laevigatum (Gaertn.) F.Muell.</t>
  </si>
  <si>
    <t>Ligustrum vulgare L.</t>
  </si>
  <si>
    <t>Lilium formosanum A.Wallace</t>
  </si>
  <si>
    <t>Lomatia fraseri R.Br.</t>
  </si>
  <si>
    <t>Luma apiculata (DC.) Burret</t>
  </si>
  <si>
    <t>Miscanthus nepalensis (Trin.) Hack.</t>
  </si>
  <si>
    <t>Moraea flaccida (Sweet) Steud.</t>
  </si>
  <si>
    <t>Myricaria germanica (L.) Desv.</t>
  </si>
  <si>
    <t>Nassella neesiana (Trin. &amp; Rupr.) Barkworth</t>
  </si>
  <si>
    <t>Ochna serrulata (Hochst.) Walp.</t>
  </si>
  <si>
    <t>Passiflora ×rosea (H.Karst.) Killip</t>
  </si>
  <si>
    <t>Passiflora mixta L.fil.</t>
  </si>
  <si>
    <t>Passiflora tripartita (A.Juss.) Poir.</t>
  </si>
  <si>
    <t>Phragmites karka (Retz.) Trin. ex Steud.</t>
  </si>
  <si>
    <t>Phyllostachys aurea (André) Rivière &amp; C.Rivière</t>
  </si>
  <si>
    <t>Pilosella praealta (Vill. ex Gochnat) F.W.Schultz &amp; Sch.Bip.</t>
  </si>
  <si>
    <t>Pinus monticola Douglas ex D.Don</t>
  </si>
  <si>
    <t>Pinus patula Schiede ex Schltdl. &amp; Cham.</t>
  </si>
  <si>
    <t>Pinus ponderosa Douglas ex C.Lawson</t>
  </si>
  <si>
    <t>Pinus thunbergii Parl.</t>
  </si>
  <si>
    <t>Prunus lusitanica L.</t>
  </si>
  <si>
    <t>Pseudosasa japonica (Siebold &amp; Zucc. ex Steud.) Makino ex Nakai</t>
  </si>
  <si>
    <t>Psidium cattleianum Afzel. ex Sabine</t>
  </si>
  <si>
    <t>Pueraria lobata (Willd.) Owhi</t>
  </si>
  <si>
    <t>Pyracantha angustifolia (Franch.) C.K.Schneid.</t>
  </si>
  <si>
    <t>Reynoutria ×bohemica (Chrtek &amp; Chrtková) J.P.Bailey</t>
  </si>
  <si>
    <t>Reynoutria sachalinensis (F.Schmidt) Nakai</t>
  </si>
  <si>
    <t>Rhaphiolepis bibas (Lour.) Galasso &amp; Banfi</t>
  </si>
  <si>
    <t>Rubus cardiophyllus P.J.Müll. &amp; Lefèvre</t>
  </si>
  <si>
    <t>Rubus cissburiensis W.P.C.Barton &amp; Ridd.</t>
  </si>
  <si>
    <t>Rubus vestitus Weihe</t>
  </si>
  <si>
    <t>Salix purpurea L.</t>
  </si>
  <si>
    <t>Selaginella kraussiana (Kunze) A.Braun</t>
  </si>
  <si>
    <t>Senecio angulatus L.fil.</t>
  </si>
  <si>
    <t>Senecio glastifolius L.fil.</t>
  </si>
  <si>
    <t>Setaria pumila (Poir.) Roem. &amp; Schult.</t>
  </si>
  <si>
    <t>Silybum marianum (L.) Gaertn.</t>
  </si>
  <si>
    <t>Solanum marginatum L.fil.</t>
  </si>
  <si>
    <t>Spiraea japonica L.fil.</t>
  </si>
  <si>
    <r>
      <t xml:space="preserve">Sporobolus </t>
    </r>
    <r>
      <rPr>
        <sz val="11"/>
        <color theme="1"/>
        <rFont val="Calibri"/>
        <family val="2"/>
      </rPr>
      <t>×</t>
    </r>
    <r>
      <rPr>
        <sz val="11"/>
        <color theme="1"/>
        <rFont val="Calibri"/>
        <family val="2"/>
        <scheme val="minor"/>
      </rPr>
      <t>townsendii (H.Groves &amp; J.Groves) P.M.Peterson &amp; Saarela</t>
    </r>
  </si>
  <si>
    <t>Sporobolus alterniflorus (Loisel.) P.M.Peterson &amp; Saarela</t>
  </si>
  <si>
    <t>Sporobolus anglicus (C.E.Hubb.) P.M.Peterson &amp; Saarela</t>
  </si>
  <si>
    <r>
      <t>Syzygium australe</t>
    </r>
    <r>
      <rPr>
        <sz val="11"/>
        <color rgb="FF000000"/>
        <rFont val="Calibri"/>
        <family val="2"/>
        <scheme val="minor"/>
      </rPr>
      <t> (J.C.Wendl. ex Link) B.Hyland</t>
    </r>
  </si>
  <si>
    <t>Tecomaria capensis (Thunb.) Spach</t>
  </si>
  <si>
    <t>Trachycarpus fortunei (Hook.) H.Wendl.</t>
  </si>
  <si>
    <t>Watsonia meriana (L.) Mill.</t>
  </si>
  <si>
    <t>Zantedeschia aethiopica (L.) Spreng.</t>
  </si>
  <si>
    <t>Zizania latifolia (Griseb.) Stapf</t>
  </si>
  <si>
    <t>Festuca arundinaceum, Schedonorus arundinaceus</t>
  </si>
  <si>
    <t>is this Phytolacca octandra? YES</t>
  </si>
  <si>
    <t>Cyathea cooperi</t>
  </si>
  <si>
    <t>Sphaeropteris cooperi (Hook. ex F.Muell.) R.M.Tryon</t>
  </si>
  <si>
    <t>Thinopyrum acutum (DC.) Banfi</t>
  </si>
  <si>
    <r>
      <t>Thinopyrum obtusiflorum </t>
    </r>
    <r>
      <rPr>
        <sz val="10"/>
        <rFont val="Arial"/>
        <family val="2"/>
      </rPr>
      <t>(DC.) Banfi.</t>
    </r>
  </si>
  <si>
    <t>Elytrigia pycnantha, Thinopyrum pycnanthum</t>
  </si>
  <si>
    <t>Araujia sericifera Brot. (realised that GBIF lists A. hortorum as a synonym of A. sericifera)</t>
  </si>
  <si>
    <t>Salix ×fragilis L.</t>
  </si>
  <si>
    <t>Crocosmia ×crocosmiiflora (Lemoine) N.E.Br.</t>
  </si>
  <si>
    <t>Erythrina ×sykesii Barneby &amp; Krukoff</t>
  </si>
  <si>
    <t>Thinopyrum ponticum, Elytrigia obtusiflora, Elytrigia pontica</t>
  </si>
  <si>
    <t>Araujia sericifera</t>
  </si>
  <si>
    <t>Cenchrus caudatus (Schrad.) Kuntze</t>
  </si>
  <si>
    <t>Crocosmia xcrocosmiiflora</t>
  </si>
  <si>
    <t>Elaeagnus xreflexa</t>
  </si>
  <si>
    <t>Erythrina xsykesii</t>
  </si>
  <si>
    <t>Lolium arundinaceum (Schreb.) Darbysh.</t>
  </si>
  <si>
    <t>Pilosella praealta</t>
  </si>
  <si>
    <t>Pueraria lobata</t>
  </si>
  <si>
    <t>Pueraria montana; Pueraria montana var. lobata</t>
  </si>
  <si>
    <t>Sporobolus xtownsendii</t>
  </si>
  <si>
    <t>Sporobolus alterniflorus</t>
  </si>
  <si>
    <t>Thinopyrum acutum</t>
  </si>
  <si>
    <t>Sporobolus anglicus</t>
  </si>
  <si>
    <t>Lolium arundinaceum</t>
  </si>
  <si>
    <t>Hieracium praealtum; Hieracium piloselloides subsp. praealta; Pilosella piloselloides subsp. praealta</t>
  </si>
  <si>
    <t>not in Flora; Weedbusters website 16 June 2022: hard oval seeds in flattened, hairy, brown, bean-like pods, Spreads by seed but mostly by vegetative growth; in SID as Pueraria montana var. lobata.</t>
  </si>
  <si>
    <r>
      <t>Rhaphiolepis umbellata</t>
    </r>
    <r>
      <rPr>
        <sz val="11"/>
        <color rgb="FF000000"/>
        <rFont val="Calibri"/>
        <family val="2"/>
        <scheme val="minor"/>
      </rPr>
      <t xml:space="preserve"> (Thunb.) Makino</t>
    </r>
  </si>
  <si>
    <t>in NZ Flora online as Thinopyrum ponticum; not on NZPCN website; numerous synonyms for this species. 1000 seed weights: Agropyron elongatum = 5.26, Agropyron junceum = 6.20; reaches heights of 1.5-2 m under favourable conditions (Smith 1996).</t>
  </si>
  <si>
    <t>on NZPCN website as Elytrigia pycnantha; 35–125 cm, infl. Up to 75cm long</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</si>
</sst>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i/>
      <sz val="11"/>
      <name val="Calibri"/>
      <family val="2"/>
      <scheme val="minor"/>
    </font>
    <font>
      <sz val="9"/>
      <name val="Times New Roman"/>
      <family val="1"/>
    </font>
    <font>
      <sz val="10"/>
      <name val="Arial"/>
      <family val="2"/>
    </font>
    <font>
      <i/>
      <sz val="10"/>
      <name val="Arial"/>
      <family val="2"/>
    </font>
    <font>
      <sz val="7"/>
      <name val="Arial"/>
      <family val="2"/>
    </font>
    <font>
      <sz val="10"/>
      <color rgb="FF000000"/>
      <name val="Times New Roman"/>
      <family val="1"/>
    </font>
    <font>
      <sz val="11"/>
      <color theme="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1" fillId="0" borderId="0" xfId="0" applyFont="1"/>
    <xf numFmtId="0" fontId="0" fillId="2" borderId="0" xfId="0" applyFill="1"/>
    <xf numFmtId="0" fontId="3" fillId="0" borderId="0" xfId="0" applyFont="1" applyFill="1"/>
    <xf numFmtId="0" fontId="6" fillId="0" borderId="0" xfId="0" applyFont="1" applyFill="1"/>
    <xf numFmtId="14" fontId="3" fillId="0" borderId="0" xfId="0" applyNumberFormat="1" applyFont="1" applyFill="1"/>
    <xf numFmtId="0" fontId="0" fillId="0" borderId="0" xfId="0" applyFill="1"/>
    <xf numFmtId="0" fontId="7" fillId="0" borderId="0" xfId="0" applyFont="1" applyFill="1"/>
    <xf numFmtId="0" fontId="2" fillId="0" borderId="0" xfId="0" applyFont="1" applyFill="1"/>
    <xf numFmtId="0" fontId="4" fillId="0" borderId="0" xfId="0" applyFont="1" applyFill="1"/>
    <xf numFmtId="0" fontId="5" fillId="0" borderId="0" xfId="0" applyFont="1" applyFill="1"/>
    <xf numFmtId="0" fontId="0" fillId="0" borderId="0" xfId="0" applyFont="1" applyFill="1"/>
    <xf numFmtId="0" fontId="8" fillId="0" borderId="0" xfId="0" applyFont="1" applyFill="1"/>
    <xf numFmtId="0" fontId="3" fillId="0" borderId="0" xfId="0" applyFont="1" applyFill="1" applyAlignment="1">
      <alignment horizontal="left" vertical="center" indent="1"/>
    </xf>
    <xf numFmtId="0" fontId="2" fillId="0" borderId="0" xfId="0" applyFont="1" applyFill="1" applyAlignment="1">
      <alignment horizontal="left" vertical="center" indent="1"/>
    </xf>
    <xf numFmtId="0" fontId="3" fillId="0" borderId="0" xfId="0" applyFont="1" applyFill="1" applyAlignment="1">
      <alignment horizontal="left"/>
    </xf>
    <xf numFmtId="0" fontId="6" fillId="0" borderId="0" xfId="0" applyFont="1" applyFill="1" applyAlignment="1">
      <alignment wrapText="1"/>
    </xf>
    <xf numFmtId="0" fontId="3" fillId="0" borderId="0" xfId="0" applyFont="1" applyFill="1" applyAlignment="1">
      <alignment wrapText="1"/>
    </xf>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ed%20dispersal%20data%202013-10-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all 328 weeds"/>
      <sheetName val="DW 328 weeds"/>
      <sheetName val="endozoochory"/>
      <sheetName val="frugivore traits"/>
      <sheetName val="habitat"/>
      <sheetName val="seed viability"/>
      <sheetName val="dispersal distance"/>
      <sheetName val="feeding method"/>
      <sheetName val="non-standard dispersal"/>
    </sheetNames>
    <sheetDataSet>
      <sheetData sheetId="0">
        <row r="18">
          <cell r="D18" t="str">
            <v>wind</v>
          </cell>
          <cell r="E18" t="str">
            <v>water</v>
          </cell>
          <cell r="F18" t="str">
            <v>internal</v>
          </cell>
          <cell r="G18" t="str">
            <v>attachment</v>
          </cell>
          <cell r="H18" t="str">
            <v>ballistic</v>
          </cell>
          <cell r="I18" t="str">
            <v>ant</v>
          </cell>
          <cell r="J18" t="str">
            <v>unspecialised</v>
          </cell>
          <cell r="K18" t="str">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88"/>
  <sheetViews>
    <sheetView tabSelected="1" zoomScaleNormal="100" workbookViewId="0">
      <pane ySplit="1" topLeftCell="A2" activePane="bottomLeft" state="frozen"/>
      <selection pane="bottomLeft" activeCell="A2" sqref="A2"/>
    </sheetView>
  </sheetViews>
  <sheetFormatPr defaultRowHeight="14.5" x14ac:dyDescent="0.35"/>
  <cols>
    <col min="1" max="1" width="23.26953125" style="7" customWidth="1"/>
    <col min="2" max="2" width="27.08984375" style="4" customWidth="1"/>
    <col min="3" max="3" width="20.90625" style="4" customWidth="1"/>
    <col min="4" max="6" width="8.7265625" style="4"/>
    <col min="7" max="7" width="8.81640625" style="4" bestFit="1" customWidth="1"/>
    <col min="8" max="11" width="8.7265625" style="4"/>
    <col min="12" max="12" width="10.81640625" style="4" customWidth="1"/>
    <col min="13" max="13" width="10.26953125" style="4" customWidth="1"/>
    <col min="14" max="15" width="11.81640625" style="4" customWidth="1"/>
    <col min="16" max="16" width="12.453125" style="4" customWidth="1"/>
    <col min="17" max="17" width="11.7265625" style="4" customWidth="1"/>
    <col min="18" max="18" width="12.1796875" style="4" customWidth="1"/>
    <col min="19" max="24" width="8.7265625" style="4"/>
    <col min="25" max="25" width="10.54296875" style="4" customWidth="1"/>
    <col min="26" max="27" width="11.54296875" style="4" bestFit="1" customWidth="1"/>
  </cols>
  <sheetData>
    <row r="1" spans="1:27" x14ac:dyDescent="0.35">
      <c r="A1" s="19" t="s">
        <v>0</v>
      </c>
      <c r="B1" s="9" t="s">
        <v>1</v>
      </c>
      <c r="C1" s="9" t="s">
        <v>2</v>
      </c>
      <c r="D1" s="9" t="s">
        <v>3</v>
      </c>
      <c r="E1" s="9" t="s">
        <v>6</v>
      </c>
      <c r="F1" s="9" t="s">
        <v>7</v>
      </c>
      <c r="G1" s="9" t="s">
        <v>8</v>
      </c>
      <c r="H1" s="9" t="s">
        <v>9</v>
      </c>
      <c r="I1" s="9" t="s">
        <v>10</v>
      </c>
      <c r="J1" s="9" t="s">
        <v>11</v>
      </c>
      <c r="K1" s="9" t="s">
        <v>12</v>
      </c>
      <c r="L1" s="9" t="s">
        <v>13</v>
      </c>
      <c r="M1" s="9" t="s">
        <v>14</v>
      </c>
      <c r="N1" s="9" t="s">
        <v>15</v>
      </c>
      <c r="O1" s="9" t="s">
        <v>16</v>
      </c>
      <c r="P1" s="9" t="s">
        <v>17</v>
      </c>
      <c r="Q1" s="9" t="s">
        <v>18</v>
      </c>
      <c r="R1" s="9" t="s">
        <v>19</v>
      </c>
      <c r="S1" s="9" t="s">
        <v>20</v>
      </c>
      <c r="T1" s="9" t="s">
        <v>21</v>
      </c>
      <c r="U1" s="9" t="s">
        <v>22</v>
      </c>
      <c r="V1" s="9" t="s">
        <v>23</v>
      </c>
      <c r="W1" s="9" t="s">
        <v>24</v>
      </c>
      <c r="X1" s="9" t="s">
        <v>25</v>
      </c>
      <c r="Y1" s="9" t="s">
        <v>26</v>
      </c>
      <c r="Z1" s="9" t="s">
        <v>27</v>
      </c>
      <c r="AA1" s="9" t="s">
        <v>28</v>
      </c>
    </row>
    <row r="2" spans="1:27" x14ac:dyDescent="0.35">
      <c r="A2" s="7" t="s">
        <v>29</v>
      </c>
      <c r="B2" s="4" t="s">
        <v>30</v>
      </c>
      <c r="D2" s="4" t="s">
        <v>31</v>
      </c>
      <c r="E2" s="4" t="s">
        <v>32</v>
      </c>
      <c r="F2" s="4" t="s">
        <v>33</v>
      </c>
      <c r="G2" s="4">
        <v>10</v>
      </c>
      <c r="H2" s="4" t="s">
        <v>34</v>
      </c>
      <c r="J2" s="4" t="s">
        <v>35</v>
      </c>
      <c r="K2" s="4" t="s">
        <v>36</v>
      </c>
      <c r="L2" s="4" t="s">
        <v>37</v>
      </c>
      <c r="M2" s="4">
        <f>21.81/1000</f>
        <v>2.181E-2</v>
      </c>
      <c r="N2" s="4" t="s">
        <v>38</v>
      </c>
      <c r="O2" s="4" t="s">
        <v>2415</v>
      </c>
      <c r="T2" s="4" t="s">
        <v>39</v>
      </c>
      <c r="U2" s="4" t="s">
        <v>40</v>
      </c>
      <c r="V2" s="4" t="s">
        <v>41</v>
      </c>
      <c r="Y2" s="6">
        <v>44714</v>
      </c>
      <c r="Z2" s="6">
        <v>45092</v>
      </c>
      <c r="AA2" s="6">
        <v>44731</v>
      </c>
    </row>
    <row r="3" spans="1:27" x14ac:dyDescent="0.35">
      <c r="A3" s="7" t="s">
        <v>42</v>
      </c>
      <c r="B3" s="4" t="s">
        <v>43</v>
      </c>
      <c r="C3" s="4" t="s">
        <v>44</v>
      </c>
      <c r="D3" s="4" t="s">
        <v>45</v>
      </c>
      <c r="E3" s="4" t="s">
        <v>46</v>
      </c>
      <c r="F3" s="4" t="s">
        <v>33</v>
      </c>
      <c r="G3" s="4">
        <v>30</v>
      </c>
      <c r="H3" s="4" t="s">
        <v>47</v>
      </c>
      <c r="I3" s="4" t="s">
        <v>10</v>
      </c>
      <c r="J3" s="4" t="s">
        <v>35</v>
      </c>
      <c r="K3" s="4" t="s">
        <v>36</v>
      </c>
      <c r="L3" s="4" t="s">
        <v>48</v>
      </c>
      <c r="M3" s="4">
        <f>12.68/1000</f>
        <v>1.268E-2</v>
      </c>
      <c r="N3" s="4" t="s">
        <v>38</v>
      </c>
      <c r="O3" s="4" t="s">
        <v>2415</v>
      </c>
      <c r="P3" s="4" t="s">
        <v>49</v>
      </c>
      <c r="T3" s="4" t="s">
        <v>50</v>
      </c>
      <c r="U3" s="4" t="s">
        <v>51</v>
      </c>
      <c r="V3" s="4" t="s">
        <v>52</v>
      </c>
      <c r="Y3" s="6">
        <v>45092</v>
      </c>
      <c r="Z3" s="6">
        <v>45092</v>
      </c>
      <c r="AA3" s="6">
        <v>45092</v>
      </c>
    </row>
    <row r="4" spans="1:27" x14ac:dyDescent="0.35">
      <c r="A4" s="7" t="s">
        <v>53</v>
      </c>
      <c r="B4" s="4" t="s">
        <v>54</v>
      </c>
      <c r="C4" s="4" t="s">
        <v>55</v>
      </c>
      <c r="D4" s="4" t="s">
        <v>56</v>
      </c>
      <c r="E4" s="4" t="s">
        <v>57</v>
      </c>
      <c r="F4" s="4" t="s">
        <v>33</v>
      </c>
      <c r="G4" s="4">
        <v>10</v>
      </c>
      <c r="H4" s="4" t="s">
        <v>58</v>
      </c>
      <c r="I4" s="4" t="s">
        <v>10</v>
      </c>
      <c r="J4" s="4" t="s">
        <v>35</v>
      </c>
      <c r="K4" s="4" t="s">
        <v>36</v>
      </c>
      <c r="L4" s="4" t="s">
        <v>59</v>
      </c>
      <c r="M4" s="4">
        <f>14.86/1000</f>
        <v>1.486E-2</v>
      </c>
      <c r="N4" s="4" t="s">
        <v>38</v>
      </c>
      <c r="O4" s="4" t="s">
        <v>60</v>
      </c>
      <c r="P4" s="4" t="s">
        <v>2415</v>
      </c>
      <c r="T4" s="4" t="s">
        <v>61</v>
      </c>
      <c r="U4" s="4" t="s">
        <v>62</v>
      </c>
      <c r="V4" s="4" t="s">
        <v>63</v>
      </c>
      <c r="Y4" s="6">
        <v>45092</v>
      </c>
      <c r="Z4" s="6">
        <v>45092</v>
      </c>
      <c r="AA4" s="6">
        <v>45092</v>
      </c>
    </row>
    <row r="5" spans="1:27" x14ac:dyDescent="0.35">
      <c r="A5" s="7" t="s">
        <v>64</v>
      </c>
      <c r="B5" s="4" t="s">
        <v>65</v>
      </c>
      <c r="C5" s="4" t="s">
        <v>66</v>
      </c>
      <c r="D5" s="4" t="s">
        <v>67</v>
      </c>
      <c r="E5" s="4" t="s">
        <v>68</v>
      </c>
      <c r="F5" s="4" t="s">
        <v>33</v>
      </c>
      <c r="G5" s="4">
        <v>10</v>
      </c>
      <c r="H5" s="4" t="s">
        <v>69</v>
      </c>
      <c r="I5" s="4" t="s">
        <v>10</v>
      </c>
      <c r="J5" s="4" t="s">
        <v>35</v>
      </c>
      <c r="K5" s="4" t="s">
        <v>36</v>
      </c>
      <c r="L5" s="4" t="s">
        <v>48</v>
      </c>
      <c r="M5" s="4">
        <f>13.25/1000</f>
        <v>1.325E-2</v>
      </c>
      <c r="N5" s="4" t="s">
        <v>38</v>
      </c>
      <c r="O5" s="4" t="s">
        <v>2415</v>
      </c>
      <c r="T5" s="4" t="s">
        <v>50</v>
      </c>
      <c r="U5" s="4" t="s">
        <v>70</v>
      </c>
      <c r="V5" s="4" t="s">
        <v>71</v>
      </c>
      <c r="Y5" s="6">
        <v>45092</v>
      </c>
      <c r="Z5" s="6">
        <v>45092</v>
      </c>
      <c r="AA5" s="6">
        <v>45092</v>
      </c>
    </row>
    <row r="6" spans="1:27" x14ac:dyDescent="0.35">
      <c r="A6" s="7" t="s">
        <v>72</v>
      </c>
      <c r="B6" s="4" t="s">
        <v>73</v>
      </c>
      <c r="C6" s="4" t="s">
        <v>74</v>
      </c>
      <c r="D6" s="4" t="s">
        <v>75</v>
      </c>
      <c r="E6" s="4" t="s">
        <v>76</v>
      </c>
      <c r="F6" s="4" t="s">
        <v>33</v>
      </c>
      <c r="G6" s="4">
        <v>30</v>
      </c>
      <c r="H6" s="4" t="s">
        <v>77</v>
      </c>
      <c r="J6" s="4" t="s">
        <v>35</v>
      </c>
      <c r="K6" s="4" t="s">
        <v>36</v>
      </c>
      <c r="L6" s="4" t="s">
        <v>78</v>
      </c>
      <c r="M6" s="4">
        <f>13.58/1000</f>
        <v>1.358E-2</v>
      </c>
      <c r="N6" s="4" t="s">
        <v>60</v>
      </c>
      <c r="O6" s="4" t="s">
        <v>38</v>
      </c>
      <c r="P6" s="4" t="s">
        <v>49</v>
      </c>
      <c r="T6" s="4" t="s">
        <v>79</v>
      </c>
      <c r="U6" s="10" t="s">
        <v>80</v>
      </c>
      <c r="V6" s="4" t="s">
        <v>81</v>
      </c>
      <c r="Y6" s="6">
        <v>45092</v>
      </c>
      <c r="Z6" s="6">
        <v>45092</v>
      </c>
      <c r="AA6" s="6">
        <v>45092</v>
      </c>
    </row>
    <row r="7" spans="1:27" x14ac:dyDescent="0.35">
      <c r="A7" s="7" t="s">
        <v>82</v>
      </c>
      <c r="B7" s="4" t="s">
        <v>83</v>
      </c>
      <c r="C7" s="4" t="s">
        <v>84</v>
      </c>
      <c r="D7" s="4" t="s">
        <v>85</v>
      </c>
      <c r="E7" s="4" t="s">
        <v>86</v>
      </c>
      <c r="F7" s="4" t="s">
        <v>87</v>
      </c>
      <c r="G7" s="4">
        <v>3</v>
      </c>
      <c r="H7" s="4" t="s">
        <v>88</v>
      </c>
      <c r="J7" s="4" t="s">
        <v>35</v>
      </c>
      <c r="K7" s="4" t="s">
        <v>36</v>
      </c>
      <c r="L7" s="4" t="s">
        <v>48</v>
      </c>
      <c r="M7" s="4">
        <f>14/1000</f>
        <v>1.4E-2</v>
      </c>
      <c r="N7" s="4" t="s">
        <v>38</v>
      </c>
      <c r="T7" s="4" t="s">
        <v>89</v>
      </c>
      <c r="U7" s="10" t="s">
        <v>90</v>
      </c>
      <c r="V7" s="4" t="s">
        <v>91</v>
      </c>
      <c r="Y7" s="6">
        <v>45092</v>
      </c>
      <c r="Z7" s="6">
        <v>45092</v>
      </c>
      <c r="AA7" s="6">
        <v>45092</v>
      </c>
    </row>
    <row r="8" spans="1:27" x14ac:dyDescent="0.35">
      <c r="A8" s="7" t="s">
        <v>2529</v>
      </c>
      <c r="B8" s="4" t="s">
        <v>2441</v>
      </c>
      <c r="C8" s="4" t="s">
        <v>2466</v>
      </c>
      <c r="D8" s="4" t="s">
        <v>2464</v>
      </c>
      <c r="E8" s="4" t="s">
        <v>2467</v>
      </c>
      <c r="F8" s="4" t="s">
        <v>87</v>
      </c>
      <c r="G8" s="4">
        <v>3</v>
      </c>
      <c r="H8" s="4" t="s">
        <v>2468</v>
      </c>
      <c r="J8" s="4" t="s">
        <v>35</v>
      </c>
      <c r="K8" s="4" t="s">
        <v>36</v>
      </c>
      <c r="L8" s="4" t="s">
        <v>48</v>
      </c>
      <c r="M8" s="4">
        <f>18.2/1000</f>
        <v>1.8200000000000001E-2</v>
      </c>
      <c r="N8" s="4" t="s">
        <v>120</v>
      </c>
      <c r="O8" s="4" t="s">
        <v>38</v>
      </c>
      <c r="P8" s="4" t="s">
        <v>60</v>
      </c>
      <c r="T8" s="4" t="s">
        <v>2469</v>
      </c>
      <c r="U8" s="7" t="s">
        <v>2465</v>
      </c>
      <c r="V8" s="4" t="s">
        <v>2470</v>
      </c>
      <c r="Y8" s="6"/>
      <c r="Z8" s="6">
        <v>45198</v>
      </c>
      <c r="AA8" s="6">
        <v>45198</v>
      </c>
    </row>
    <row r="9" spans="1:27" x14ac:dyDescent="0.35">
      <c r="A9" s="7" t="s">
        <v>92</v>
      </c>
      <c r="B9" s="4" t="s">
        <v>93</v>
      </c>
      <c r="C9" s="4" t="s">
        <v>94</v>
      </c>
      <c r="D9" s="4" t="s">
        <v>95</v>
      </c>
      <c r="E9" s="4" t="s">
        <v>96</v>
      </c>
      <c r="F9" s="4" t="s">
        <v>33</v>
      </c>
      <c r="G9" s="4">
        <v>10</v>
      </c>
      <c r="H9" s="4" t="s">
        <v>97</v>
      </c>
      <c r="J9" s="4" t="s">
        <v>35</v>
      </c>
      <c r="K9" s="4" t="s">
        <v>36</v>
      </c>
      <c r="L9" s="4" t="s">
        <v>48</v>
      </c>
      <c r="M9" s="4">
        <f>8.86/1000</f>
        <v>8.8599999999999998E-3</v>
      </c>
      <c r="N9" s="4" t="s">
        <v>38</v>
      </c>
      <c r="T9" s="4" t="s">
        <v>98</v>
      </c>
      <c r="U9" s="10" t="s">
        <v>80</v>
      </c>
      <c r="V9" s="4" t="s">
        <v>99</v>
      </c>
      <c r="Y9" s="6">
        <v>45092</v>
      </c>
      <c r="Z9" s="6">
        <v>45092</v>
      </c>
      <c r="AA9" s="6">
        <v>45092</v>
      </c>
    </row>
    <row r="10" spans="1:27" x14ac:dyDescent="0.35">
      <c r="A10" s="7" t="s">
        <v>100</v>
      </c>
      <c r="B10" s="4" t="s">
        <v>101</v>
      </c>
      <c r="D10" s="4" t="s">
        <v>102</v>
      </c>
      <c r="F10" s="4" t="s">
        <v>103</v>
      </c>
      <c r="G10" s="4">
        <v>1.2</v>
      </c>
      <c r="H10" s="4" t="s">
        <v>104</v>
      </c>
      <c r="I10" s="4" t="s">
        <v>10</v>
      </c>
      <c r="J10" s="4" t="s">
        <v>105</v>
      </c>
      <c r="K10" s="4" t="s">
        <v>106</v>
      </c>
      <c r="L10" s="4" t="s">
        <v>107</v>
      </c>
      <c r="M10" s="4">
        <f>208/1000</f>
        <v>0.20799999999999999</v>
      </c>
      <c r="N10" s="4" t="s">
        <v>108</v>
      </c>
      <c r="O10" s="4" t="s">
        <v>49</v>
      </c>
      <c r="P10" s="4" t="s">
        <v>2415</v>
      </c>
      <c r="Q10" s="4" t="s">
        <v>60</v>
      </c>
      <c r="T10" s="4" t="s">
        <v>109</v>
      </c>
      <c r="U10" s="4" t="s">
        <v>110</v>
      </c>
      <c r="V10" s="4" t="s">
        <v>111</v>
      </c>
      <c r="W10" s="4" t="s">
        <v>2392</v>
      </c>
      <c r="Y10" s="6">
        <v>44714</v>
      </c>
      <c r="Z10" s="6">
        <v>45030</v>
      </c>
      <c r="AA10" s="6">
        <v>45029</v>
      </c>
    </row>
    <row r="11" spans="1:27" x14ac:dyDescent="0.35">
      <c r="A11" s="7" t="s">
        <v>2530</v>
      </c>
      <c r="B11" s="7" t="s">
        <v>2442</v>
      </c>
      <c r="D11" s="4" t="s">
        <v>2471</v>
      </c>
      <c r="E11" s="4" t="s">
        <v>2472</v>
      </c>
      <c r="F11" s="4" t="s">
        <v>116</v>
      </c>
      <c r="G11" s="4">
        <v>17</v>
      </c>
      <c r="J11" s="4" t="s">
        <v>118</v>
      </c>
      <c r="K11" s="4" t="s">
        <v>106</v>
      </c>
      <c r="L11" s="4" t="s">
        <v>119</v>
      </c>
      <c r="M11" s="4">
        <f>35.98/1000</f>
        <v>3.5979999999999998E-2</v>
      </c>
      <c r="N11" s="4" t="s">
        <v>120</v>
      </c>
      <c r="S11" s="4">
        <v>41.1</v>
      </c>
      <c r="T11" s="4" t="s">
        <v>2473</v>
      </c>
      <c r="V11" s="4" t="s">
        <v>2474</v>
      </c>
      <c r="Y11" s="6">
        <v>45198</v>
      </c>
      <c r="Z11" s="6"/>
      <c r="AA11" s="6">
        <v>45198</v>
      </c>
    </row>
    <row r="12" spans="1:27" x14ac:dyDescent="0.35">
      <c r="A12" s="7" t="s">
        <v>112</v>
      </c>
      <c r="B12" s="4" t="s">
        <v>113</v>
      </c>
      <c r="D12" s="4" t="s">
        <v>114</v>
      </c>
      <c r="E12" s="4" t="s">
        <v>115</v>
      </c>
      <c r="F12" s="4" t="s">
        <v>116</v>
      </c>
      <c r="G12" s="4">
        <v>20</v>
      </c>
      <c r="H12" s="4" t="s">
        <v>117</v>
      </c>
      <c r="I12" s="4" t="s">
        <v>10</v>
      </c>
      <c r="J12" s="4" t="s">
        <v>118</v>
      </c>
      <c r="K12" s="4" t="s">
        <v>106</v>
      </c>
      <c r="L12" s="4" t="s">
        <v>119</v>
      </c>
      <c r="M12" s="4">
        <f>95.1/1000</f>
        <v>9.509999999999999E-2</v>
      </c>
      <c r="N12" s="4" t="s">
        <v>120</v>
      </c>
      <c r="O12" s="4" t="s">
        <v>121</v>
      </c>
      <c r="P12" s="4" t="s">
        <v>60</v>
      </c>
      <c r="S12" s="4">
        <v>85</v>
      </c>
      <c r="T12" s="4" t="s">
        <v>122</v>
      </c>
      <c r="U12" s="4" t="s">
        <v>123</v>
      </c>
      <c r="V12" s="4" t="s">
        <v>124</v>
      </c>
      <c r="Y12" s="6">
        <v>44714</v>
      </c>
      <c r="Z12" s="6">
        <v>45030</v>
      </c>
      <c r="AA12" s="6">
        <v>44731</v>
      </c>
    </row>
    <row r="13" spans="1:27" x14ac:dyDescent="0.35">
      <c r="A13" s="7" t="s">
        <v>125</v>
      </c>
      <c r="B13" s="4" t="s">
        <v>126</v>
      </c>
      <c r="C13" s="4" t="s">
        <v>127</v>
      </c>
      <c r="D13" s="4" t="s">
        <v>128</v>
      </c>
      <c r="E13" s="4" t="s">
        <v>129</v>
      </c>
      <c r="F13" s="4" t="s">
        <v>130</v>
      </c>
      <c r="H13" s="4" t="s">
        <v>131</v>
      </c>
      <c r="J13" s="4" t="s">
        <v>132</v>
      </c>
      <c r="K13" s="4" t="s">
        <v>36</v>
      </c>
      <c r="L13" s="4" t="s">
        <v>36</v>
      </c>
      <c r="M13" s="4">
        <f>1.6/1000</f>
        <v>1.6000000000000001E-3</v>
      </c>
      <c r="N13" s="4" t="s">
        <v>60</v>
      </c>
      <c r="T13" s="4" t="s">
        <v>133</v>
      </c>
      <c r="U13" s="4" t="s">
        <v>134</v>
      </c>
      <c r="V13" s="4" t="s">
        <v>135</v>
      </c>
      <c r="Y13" s="6">
        <v>45092</v>
      </c>
      <c r="AA13" s="6">
        <v>45092</v>
      </c>
    </row>
    <row r="14" spans="1:27" x14ac:dyDescent="0.35">
      <c r="A14" s="7" t="s">
        <v>2531</v>
      </c>
      <c r="B14" s="4" t="s">
        <v>2443</v>
      </c>
      <c r="K14" s="4" t="s">
        <v>348</v>
      </c>
      <c r="Y14" s="6"/>
      <c r="AA14" s="6"/>
    </row>
    <row r="15" spans="1:27" x14ac:dyDescent="0.35">
      <c r="A15" s="7" t="s">
        <v>136</v>
      </c>
      <c r="B15" s="4" t="s">
        <v>137</v>
      </c>
      <c r="D15" s="4" t="s">
        <v>138</v>
      </c>
      <c r="E15" s="4" t="s">
        <v>139</v>
      </c>
      <c r="F15" s="4" t="s">
        <v>103</v>
      </c>
      <c r="G15" s="4">
        <v>1.2</v>
      </c>
      <c r="J15" s="4" t="s">
        <v>105</v>
      </c>
      <c r="K15" s="4" t="s">
        <v>106</v>
      </c>
      <c r="L15" s="4" t="s">
        <v>119</v>
      </c>
      <c r="N15" s="4" t="s">
        <v>120</v>
      </c>
      <c r="T15" s="4" t="s">
        <v>140</v>
      </c>
      <c r="Y15" s="6">
        <v>44714</v>
      </c>
      <c r="Z15" s="6">
        <v>45030</v>
      </c>
    </row>
    <row r="16" spans="1:27" x14ac:dyDescent="0.35">
      <c r="A16" s="7" t="s">
        <v>141</v>
      </c>
      <c r="B16" s="4" t="s">
        <v>142</v>
      </c>
      <c r="D16" s="4" t="s">
        <v>143</v>
      </c>
      <c r="E16" s="4" t="s">
        <v>144</v>
      </c>
      <c r="F16" s="4" t="s">
        <v>145</v>
      </c>
      <c r="G16" s="4">
        <v>10</v>
      </c>
      <c r="H16" s="4" t="s">
        <v>146</v>
      </c>
      <c r="J16" s="4" t="s">
        <v>105</v>
      </c>
      <c r="K16" s="4" t="s">
        <v>106</v>
      </c>
      <c r="L16" s="4" t="s">
        <v>147</v>
      </c>
      <c r="M16" s="4">
        <f>8.98/1000</f>
        <v>8.9800000000000001E-3</v>
      </c>
      <c r="N16" s="4" t="s">
        <v>2415</v>
      </c>
      <c r="U16" s="4" t="s">
        <v>148</v>
      </c>
      <c r="V16" s="4" t="s">
        <v>149</v>
      </c>
      <c r="W16" s="4" t="s">
        <v>150</v>
      </c>
      <c r="Y16" s="6">
        <v>44714</v>
      </c>
      <c r="Z16" s="6">
        <v>45030</v>
      </c>
      <c r="AA16" s="6">
        <v>44731</v>
      </c>
    </row>
    <row r="17" spans="1:27" x14ac:dyDescent="0.35">
      <c r="A17" s="7" t="s">
        <v>151</v>
      </c>
      <c r="B17" s="4" t="s">
        <v>152</v>
      </c>
      <c r="C17" s="4" t="s">
        <v>153</v>
      </c>
      <c r="D17" s="4" t="s">
        <v>154</v>
      </c>
      <c r="E17" s="4" t="s">
        <v>155</v>
      </c>
      <c r="F17" s="4" t="s">
        <v>156</v>
      </c>
      <c r="G17" s="4">
        <v>3</v>
      </c>
      <c r="H17" s="4" t="s">
        <v>157</v>
      </c>
      <c r="I17" s="4" t="s">
        <v>10</v>
      </c>
      <c r="J17" s="4" t="s">
        <v>158</v>
      </c>
      <c r="K17" s="4" t="s">
        <v>106</v>
      </c>
      <c r="L17" s="4" t="s">
        <v>159</v>
      </c>
      <c r="M17" s="4">
        <f>0.055/1000</f>
        <v>5.5000000000000002E-5</v>
      </c>
      <c r="N17" s="4" t="s">
        <v>120</v>
      </c>
      <c r="T17" s="4" t="s">
        <v>160</v>
      </c>
      <c r="V17" s="4" t="s">
        <v>161</v>
      </c>
      <c r="Y17" s="6">
        <v>44714</v>
      </c>
      <c r="Z17" s="6">
        <v>45030</v>
      </c>
      <c r="AA17" s="6">
        <v>44731</v>
      </c>
    </row>
    <row r="18" spans="1:27" x14ac:dyDescent="0.35">
      <c r="A18" s="7" t="s">
        <v>162</v>
      </c>
      <c r="B18" s="4" t="s">
        <v>163</v>
      </c>
      <c r="D18" s="4" t="s">
        <v>164</v>
      </c>
      <c r="E18" s="4" t="s">
        <v>155</v>
      </c>
      <c r="F18" s="4" t="s">
        <v>156</v>
      </c>
      <c r="G18" s="4">
        <v>1</v>
      </c>
      <c r="H18" s="4" t="s">
        <v>165</v>
      </c>
      <c r="I18" s="4" t="s">
        <v>10</v>
      </c>
      <c r="J18" s="4" t="s">
        <v>158</v>
      </c>
      <c r="K18" s="4" t="s">
        <v>106</v>
      </c>
      <c r="L18" s="4" t="s">
        <v>159</v>
      </c>
      <c r="N18" s="4" t="s">
        <v>120</v>
      </c>
      <c r="T18" s="4" t="s">
        <v>160</v>
      </c>
      <c r="Y18" s="6">
        <v>44714</v>
      </c>
      <c r="Z18" s="6">
        <v>45030</v>
      </c>
      <c r="AA18" s="6">
        <v>44731</v>
      </c>
    </row>
    <row r="19" spans="1:27" x14ac:dyDescent="0.35">
      <c r="A19" s="7" t="s">
        <v>166</v>
      </c>
      <c r="B19" s="4" t="s">
        <v>167</v>
      </c>
      <c r="D19" s="4" t="s">
        <v>168</v>
      </c>
      <c r="E19" s="4" t="s">
        <v>169</v>
      </c>
      <c r="F19" s="4" t="s">
        <v>103</v>
      </c>
      <c r="G19" s="4">
        <v>1</v>
      </c>
      <c r="H19" s="4" t="s">
        <v>170</v>
      </c>
      <c r="I19" s="4" t="s">
        <v>10</v>
      </c>
      <c r="J19" s="4" t="s">
        <v>158</v>
      </c>
      <c r="K19" s="4" t="s">
        <v>106</v>
      </c>
      <c r="L19" s="4" t="s">
        <v>159</v>
      </c>
      <c r="M19" s="4">
        <f>0.1/1000</f>
        <v>1E-4</v>
      </c>
      <c r="N19" s="4" t="s">
        <v>120</v>
      </c>
      <c r="T19" s="4" t="s">
        <v>172</v>
      </c>
      <c r="U19" s="4" t="s">
        <v>173</v>
      </c>
      <c r="V19" s="9" t="s">
        <v>174</v>
      </c>
      <c r="W19" s="9"/>
      <c r="Y19" s="6">
        <v>44714</v>
      </c>
      <c r="Z19" s="6">
        <v>45033</v>
      </c>
      <c r="AA19" s="6">
        <v>44731</v>
      </c>
    </row>
    <row r="20" spans="1:27" x14ac:dyDescent="0.35">
      <c r="A20" s="7" t="s">
        <v>175</v>
      </c>
      <c r="B20" s="4" t="s">
        <v>176</v>
      </c>
      <c r="D20" s="4" t="s">
        <v>177</v>
      </c>
      <c r="F20" s="4" t="s">
        <v>178</v>
      </c>
      <c r="G20" s="4">
        <v>1</v>
      </c>
      <c r="H20" s="4" t="s">
        <v>179</v>
      </c>
      <c r="I20" s="4" t="s">
        <v>10</v>
      </c>
      <c r="J20" s="4" t="s">
        <v>180</v>
      </c>
      <c r="K20" s="4" t="s">
        <v>106</v>
      </c>
      <c r="L20" s="4" t="s">
        <v>181</v>
      </c>
      <c r="M20" s="4">
        <f>0.075/1000</f>
        <v>7.4999999999999993E-5</v>
      </c>
      <c r="N20" s="4" t="s">
        <v>121</v>
      </c>
      <c r="O20" s="4" t="s">
        <v>60</v>
      </c>
      <c r="P20" s="4" t="s">
        <v>2415</v>
      </c>
      <c r="Q20" s="4" t="s">
        <v>49</v>
      </c>
      <c r="T20" s="4" t="s">
        <v>182</v>
      </c>
      <c r="U20" s="4" t="s">
        <v>183</v>
      </c>
      <c r="V20" s="4" t="s">
        <v>184</v>
      </c>
      <c r="W20" s="9"/>
      <c r="Y20" s="6">
        <v>44714</v>
      </c>
      <c r="Z20" s="6">
        <v>45033</v>
      </c>
      <c r="AA20" s="6">
        <v>44731</v>
      </c>
    </row>
    <row r="21" spans="1:27" x14ac:dyDescent="0.35">
      <c r="A21" s="7" t="s">
        <v>185</v>
      </c>
      <c r="B21" s="4" t="s">
        <v>186</v>
      </c>
      <c r="C21" s="4" t="s">
        <v>187</v>
      </c>
      <c r="D21" s="4" t="s">
        <v>188</v>
      </c>
      <c r="F21" s="4" t="s">
        <v>116</v>
      </c>
      <c r="G21" s="4">
        <v>25</v>
      </c>
      <c r="H21" s="4" t="s">
        <v>189</v>
      </c>
      <c r="I21" s="4" t="s">
        <v>10</v>
      </c>
      <c r="J21" s="4" t="s">
        <v>118</v>
      </c>
      <c r="K21" s="4" t="s">
        <v>106</v>
      </c>
      <c r="L21" s="4" t="s">
        <v>119</v>
      </c>
      <c r="M21" s="4">
        <f>29.2/1000</f>
        <v>2.92E-2</v>
      </c>
      <c r="N21" s="4" t="s">
        <v>120</v>
      </c>
      <c r="O21" s="4" t="s">
        <v>49</v>
      </c>
      <c r="S21" s="4" t="s">
        <v>190</v>
      </c>
      <c r="T21" s="4" t="s">
        <v>191</v>
      </c>
      <c r="V21" s="4" t="s">
        <v>192</v>
      </c>
      <c r="Y21" s="6">
        <v>44714</v>
      </c>
      <c r="Z21" s="6"/>
      <c r="AA21" s="6">
        <v>44731</v>
      </c>
    </row>
    <row r="22" spans="1:27" x14ac:dyDescent="0.35">
      <c r="A22" s="7" t="s">
        <v>193</v>
      </c>
      <c r="B22" s="4" t="s">
        <v>194</v>
      </c>
      <c r="D22" s="4" t="s">
        <v>195</v>
      </c>
      <c r="E22" s="4" t="s">
        <v>196</v>
      </c>
      <c r="J22" s="4" t="s">
        <v>197</v>
      </c>
      <c r="K22" s="4" t="s">
        <v>36</v>
      </c>
      <c r="L22" s="4" t="s">
        <v>36</v>
      </c>
      <c r="N22" s="4" t="s">
        <v>60</v>
      </c>
      <c r="T22" s="4" t="s">
        <v>198</v>
      </c>
      <c r="V22" s="4" t="s">
        <v>2416</v>
      </c>
      <c r="X22" s="4" t="s">
        <v>199</v>
      </c>
    </row>
    <row r="23" spans="1:27" x14ac:dyDescent="0.35">
      <c r="A23" s="7" t="s">
        <v>201</v>
      </c>
      <c r="B23" s="4" t="s">
        <v>202</v>
      </c>
      <c r="D23" s="4" t="s">
        <v>203</v>
      </c>
      <c r="E23" s="4" t="s">
        <v>204</v>
      </c>
      <c r="F23" s="4" t="s">
        <v>103</v>
      </c>
      <c r="G23" s="4">
        <v>0.6</v>
      </c>
      <c r="H23" s="4" t="s">
        <v>205</v>
      </c>
      <c r="I23" s="4" t="s">
        <v>10</v>
      </c>
      <c r="J23" s="4" t="s">
        <v>105</v>
      </c>
      <c r="K23" s="4" t="s">
        <v>106</v>
      </c>
      <c r="L23" s="4" t="s">
        <v>206</v>
      </c>
      <c r="N23" s="4" t="s">
        <v>38</v>
      </c>
      <c r="T23" s="4" t="s">
        <v>207</v>
      </c>
      <c r="U23" s="4" t="s">
        <v>208</v>
      </c>
      <c r="V23" s="4" t="s">
        <v>209</v>
      </c>
      <c r="Y23" s="6">
        <v>44714</v>
      </c>
      <c r="Z23" s="6">
        <v>45033</v>
      </c>
    </row>
    <row r="24" spans="1:27" x14ac:dyDescent="0.35">
      <c r="A24" s="7" t="s">
        <v>210</v>
      </c>
      <c r="B24" s="4" t="s">
        <v>211</v>
      </c>
      <c r="D24" s="4" t="s">
        <v>212</v>
      </c>
      <c r="F24" s="4" t="s">
        <v>116</v>
      </c>
      <c r="G24" s="4">
        <v>15</v>
      </c>
      <c r="H24" s="4" t="s">
        <v>2428</v>
      </c>
      <c r="I24" s="4" t="s">
        <v>10</v>
      </c>
      <c r="J24" s="4" t="s">
        <v>213</v>
      </c>
      <c r="K24" s="4" t="s">
        <v>106</v>
      </c>
      <c r="L24" s="4" t="s">
        <v>214</v>
      </c>
      <c r="M24" s="4">
        <f>5/1000</f>
        <v>5.0000000000000001E-3</v>
      </c>
      <c r="N24" s="4" t="s">
        <v>120</v>
      </c>
      <c r="O24" s="4" t="s">
        <v>49</v>
      </c>
      <c r="P24" s="4" t="s">
        <v>121</v>
      </c>
      <c r="T24" s="4" t="s">
        <v>215</v>
      </c>
      <c r="V24" s="4" t="s">
        <v>216</v>
      </c>
      <c r="Y24" s="6">
        <v>44714</v>
      </c>
      <c r="Z24" s="6">
        <v>45033</v>
      </c>
      <c r="AA24" s="6">
        <v>44731</v>
      </c>
    </row>
    <row r="25" spans="1:27" x14ac:dyDescent="0.35">
      <c r="A25" s="7" t="s">
        <v>2532</v>
      </c>
      <c r="B25" s="4" t="s">
        <v>217</v>
      </c>
      <c r="C25" s="4" t="s">
        <v>218</v>
      </c>
      <c r="D25" s="4" t="s">
        <v>219</v>
      </c>
      <c r="F25" s="4" t="s">
        <v>103</v>
      </c>
      <c r="G25" s="4">
        <v>3</v>
      </c>
      <c r="H25" s="4" t="s">
        <v>220</v>
      </c>
      <c r="I25" s="4" t="s">
        <v>10</v>
      </c>
      <c r="J25" s="4" t="s">
        <v>132</v>
      </c>
      <c r="K25" s="4" t="s">
        <v>36</v>
      </c>
      <c r="L25" s="4" t="s">
        <v>36</v>
      </c>
      <c r="M25" s="4">
        <f>10/1000</f>
        <v>0.01</v>
      </c>
      <c r="N25" s="4" t="s">
        <v>60</v>
      </c>
      <c r="T25" s="4" t="s">
        <v>221</v>
      </c>
      <c r="U25" s="4" t="s">
        <v>222</v>
      </c>
      <c r="Y25" s="6">
        <v>45092</v>
      </c>
      <c r="Z25" s="6">
        <v>45092</v>
      </c>
      <c r="AA25" s="6">
        <v>45092</v>
      </c>
    </row>
    <row r="26" spans="1:27" x14ac:dyDescent="0.35">
      <c r="A26" s="7" t="s">
        <v>223</v>
      </c>
      <c r="B26" s="4" t="s">
        <v>224</v>
      </c>
      <c r="C26" s="4" t="s">
        <v>225</v>
      </c>
      <c r="D26" s="4" t="s">
        <v>226</v>
      </c>
      <c r="E26" s="4" t="s">
        <v>227</v>
      </c>
      <c r="F26" s="4" t="s">
        <v>103</v>
      </c>
      <c r="G26" s="4">
        <v>1</v>
      </c>
      <c r="J26" s="4" t="s">
        <v>105</v>
      </c>
      <c r="K26" s="4" t="s">
        <v>106</v>
      </c>
      <c r="M26" s="4">
        <f>1.645/1000</f>
        <v>1.645E-3</v>
      </c>
      <c r="T26" s="4" t="s">
        <v>228</v>
      </c>
      <c r="U26" s="4" t="s">
        <v>229</v>
      </c>
      <c r="X26" s="4" t="s">
        <v>181</v>
      </c>
      <c r="Y26" s="6">
        <v>44714</v>
      </c>
      <c r="Z26" s="6"/>
      <c r="AA26" s="6">
        <v>44731</v>
      </c>
    </row>
    <row r="27" spans="1:27" x14ac:dyDescent="0.35">
      <c r="A27" s="7" t="s">
        <v>230</v>
      </c>
      <c r="B27" s="4" t="s">
        <v>231</v>
      </c>
      <c r="D27" s="4" t="s">
        <v>232</v>
      </c>
      <c r="E27" s="4" t="s">
        <v>233</v>
      </c>
      <c r="J27" s="4" t="s">
        <v>234</v>
      </c>
      <c r="K27" s="4" t="s">
        <v>200</v>
      </c>
      <c r="X27" s="4" t="s">
        <v>181</v>
      </c>
      <c r="Y27" s="6">
        <v>45033</v>
      </c>
    </row>
    <row r="28" spans="1:27" x14ac:dyDescent="0.35">
      <c r="A28" s="7" t="s">
        <v>2533</v>
      </c>
      <c r="B28" s="4" t="s">
        <v>235</v>
      </c>
      <c r="D28" s="4" t="s">
        <v>236</v>
      </c>
      <c r="E28" s="4" t="s">
        <v>237</v>
      </c>
      <c r="F28" s="4" t="s">
        <v>178</v>
      </c>
      <c r="G28" s="4">
        <v>1.7</v>
      </c>
      <c r="H28" s="4" t="s">
        <v>238</v>
      </c>
      <c r="J28" s="4" t="s">
        <v>180</v>
      </c>
      <c r="K28" s="4" t="s">
        <v>106</v>
      </c>
      <c r="L28" s="4" t="s">
        <v>239</v>
      </c>
      <c r="M28" s="4">
        <f>3/1000</f>
        <v>3.0000000000000001E-3</v>
      </c>
      <c r="N28" s="4" t="s">
        <v>120</v>
      </c>
      <c r="T28" s="4" t="s">
        <v>240</v>
      </c>
      <c r="U28" s="4" t="s">
        <v>241</v>
      </c>
      <c r="V28" s="4" t="s">
        <v>2417</v>
      </c>
      <c r="W28" s="9"/>
      <c r="X28" s="4" t="s">
        <v>199</v>
      </c>
      <c r="Y28" s="6">
        <v>44714</v>
      </c>
      <c r="Z28" s="6">
        <v>45033</v>
      </c>
      <c r="AA28" s="6">
        <v>44731</v>
      </c>
    </row>
    <row r="29" spans="1:27" x14ac:dyDescent="0.35">
      <c r="A29" s="7" t="s">
        <v>242</v>
      </c>
      <c r="B29" s="4" t="s">
        <v>243</v>
      </c>
      <c r="C29" s="4" t="s">
        <v>244</v>
      </c>
      <c r="D29" s="4" t="s">
        <v>245</v>
      </c>
      <c r="E29" s="4" t="s">
        <v>246</v>
      </c>
      <c r="F29" s="4" t="s">
        <v>130</v>
      </c>
      <c r="J29" s="4" t="s">
        <v>105</v>
      </c>
      <c r="K29" s="4" t="s">
        <v>106</v>
      </c>
      <c r="L29" s="4" t="s">
        <v>119</v>
      </c>
      <c r="M29" s="4">
        <f>55.79/1000</f>
        <v>5.5789999999999999E-2</v>
      </c>
      <c r="N29" s="4" t="s">
        <v>120</v>
      </c>
      <c r="T29" s="4" t="s">
        <v>247</v>
      </c>
      <c r="V29" s="9"/>
      <c r="W29" s="4" t="s">
        <v>248</v>
      </c>
      <c r="Y29" s="6">
        <v>44728</v>
      </c>
      <c r="Z29" s="6">
        <v>44728</v>
      </c>
      <c r="AA29" s="6">
        <v>44731</v>
      </c>
    </row>
    <row r="30" spans="1:27" x14ac:dyDescent="0.35">
      <c r="A30" s="7" t="s">
        <v>249</v>
      </c>
      <c r="B30" s="4" t="s">
        <v>250</v>
      </c>
      <c r="D30" s="4" t="s">
        <v>251</v>
      </c>
      <c r="E30" s="4" t="s">
        <v>252</v>
      </c>
      <c r="J30" s="4" t="s">
        <v>180</v>
      </c>
      <c r="K30" s="4" t="s">
        <v>106</v>
      </c>
      <c r="V30" s="4" t="s">
        <v>253</v>
      </c>
      <c r="X30" s="4" t="s">
        <v>181</v>
      </c>
    </row>
    <row r="31" spans="1:27" x14ac:dyDescent="0.35">
      <c r="A31" s="7" t="s">
        <v>254</v>
      </c>
      <c r="B31" s="4" t="s">
        <v>255</v>
      </c>
      <c r="D31" s="4" t="s">
        <v>256</v>
      </c>
      <c r="F31" s="4" t="s">
        <v>103</v>
      </c>
      <c r="G31" s="4">
        <v>0.6</v>
      </c>
      <c r="H31" s="4" t="s">
        <v>257</v>
      </c>
      <c r="J31" s="4" t="s">
        <v>258</v>
      </c>
      <c r="K31" s="4" t="s">
        <v>106</v>
      </c>
      <c r="L31" s="4" t="s">
        <v>259</v>
      </c>
      <c r="M31" s="4">
        <f>8.17/1000</f>
        <v>8.1700000000000002E-3</v>
      </c>
      <c r="N31" s="4" t="s">
        <v>49</v>
      </c>
      <c r="O31" s="4" t="s">
        <v>120</v>
      </c>
      <c r="T31" s="4" t="s">
        <v>260</v>
      </c>
      <c r="U31" s="4" t="s">
        <v>261</v>
      </c>
      <c r="V31" s="10" t="s">
        <v>262</v>
      </c>
      <c r="W31" s="10"/>
      <c r="Y31" s="6">
        <v>44714</v>
      </c>
      <c r="Z31" s="6">
        <v>45033</v>
      </c>
      <c r="AA31" s="6">
        <v>45033</v>
      </c>
    </row>
    <row r="32" spans="1:27" x14ac:dyDescent="0.35">
      <c r="A32" s="7" t="s">
        <v>263</v>
      </c>
      <c r="B32" s="4" t="s">
        <v>264</v>
      </c>
      <c r="D32" s="4" t="s">
        <v>265</v>
      </c>
      <c r="J32" s="4" t="s">
        <v>266</v>
      </c>
      <c r="K32" s="4" t="s">
        <v>106</v>
      </c>
      <c r="X32" s="4" t="s">
        <v>181</v>
      </c>
    </row>
    <row r="33" spans="1:27" x14ac:dyDescent="0.35">
      <c r="A33" s="7" t="s">
        <v>267</v>
      </c>
      <c r="B33" s="4" t="s">
        <v>268</v>
      </c>
      <c r="D33" s="4" t="s">
        <v>269</v>
      </c>
      <c r="E33" s="4" t="s">
        <v>270</v>
      </c>
      <c r="F33" s="4" t="s">
        <v>103</v>
      </c>
      <c r="G33" s="4">
        <v>0.06</v>
      </c>
      <c r="H33" s="4" t="s">
        <v>271</v>
      </c>
      <c r="I33" s="4" t="s">
        <v>10</v>
      </c>
      <c r="J33" s="4" t="s">
        <v>272</v>
      </c>
      <c r="K33" s="4" t="s">
        <v>200</v>
      </c>
      <c r="L33" s="4" t="s">
        <v>273</v>
      </c>
      <c r="N33" s="4" t="s">
        <v>49</v>
      </c>
      <c r="T33" s="4" t="s">
        <v>274</v>
      </c>
      <c r="V33" s="4" t="s">
        <v>275</v>
      </c>
      <c r="Y33" s="6">
        <v>44714</v>
      </c>
      <c r="Z33" s="6">
        <v>45033</v>
      </c>
      <c r="AA33" s="6">
        <v>44731</v>
      </c>
    </row>
    <row r="34" spans="1:27" x14ac:dyDescent="0.35">
      <c r="A34" s="7" t="s">
        <v>2630</v>
      </c>
      <c r="B34" s="4" t="s">
        <v>2635</v>
      </c>
      <c r="C34" s="4" t="s">
        <v>276</v>
      </c>
      <c r="D34" s="4" t="s">
        <v>277</v>
      </c>
      <c r="E34" s="4" t="s">
        <v>278</v>
      </c>
      <c r="F34" s="4" t="s">
        <v>130</v>
      </c>
      <c r="G34" s="4">
        <v>10</v>
      </c>
      <c r="H34" s="4" t="s">
        <v>279</v>
      </c>
      <c r="K34" s="4" t="s">
        <v>106</v>
      </c>
      <c r="L34" s="4" t="s">
        <v>280</v>
      </c>
      <c r="N34" s="4" t="s">
        <v>120</v>
      </c>
      <c r="T34" s="4" t="s">
        <v>281</v>
      </c>
      <c r="Y34" s="6">
        <v>44714</v>
      </c>
      <c r="Z34" s="6">
        <v>45033</v>
      </c>
    </row>
    <row r="35" spans="1:27" x14ac:dyDescent="0.35">
      <c r="A35" s="7" t="s">
        <v>2534</v>
      </c>
      <c r="B35" s="4" t="s">
        <v>282</v>
      </c>
      <c r="D35" s="4" t="s">
        <v>283</v>
      </c>
      <c r="E35" s="4" t="s">
        <v>284</v>
      </c>
      <c r="F35" s="4" t="s">
        <v>116</v>
      </c>
      <c r="G35" s="4">
        <v>13</v>
      </c>
      <c r="H35" s="4" t="s">
        <v>285</v>
      </c>
      <c r="I35" s="4" t="s">
        <v>10</v>
      </c>
      <c r="K35" s="4" t="s">
        <v>36</v>
      </c>
      <c r="L35" s="4" t="s">
        <v>36</v>
      </c>
      <c r="M35" s="4">
        <f>568.2/1000</f>
        <v>0.56820000000000004</v>
      </c>
      <c r="N35" s="4" t="s">
        <v>60</v>
      </c>
      <c r="O35" s="4" t="s">
        <v>49</v>
      </c>
      <c r="T35" s="4" t="s">
        <v>286</v>
      </c>
      <c r="U35" s="4" t="s">
        <v>287</v>
      </c>
      <c r="V35" s="4" t="s">
        <v>288</v>
      </c>
      <c r="Y35" s="6"/>
      <c r="Z35" s="6">
        <v>45092</v>
      </c>
      <c r="AA35" s="6">
        <v>45092</v>
      </c>
    </row>
    <row r="36" spans="1:27" x14ac:dyDescent="0.35">
      <c r="A36" s="7" t="s">
        <v>2535</v>
      </c>
      <c r="B36" s="4" t="s">
        <v>289</v>
      </c>
      <c r="D36" s="4" t="s">
        <v>290</v>
      </c>
      <c r="F36" s="4" t="s">
        <v>103</v>
      </c>
      <c r="G36" s="4">
        <v>1.5</v>
      </c>
      <c r="H36" s="4" t="s">
        <v>291</v>
      </c>
      <c r="I36" s="4" t="s">
        <v>10</v>
      </c>
      <c r="J36" s="4" t="s">
        <v>158</v>
      </c>
      <c r="K36" s="4" t="s">
        <v>106</v>
      </c>
      <c r="L36" s="4" t="s">
        <v>292</v>
      </c>
      <c r="M36" s="4">
        <f>8.9/1000</f>
        <v>8.8999999999999999E-3</v>
      </c>
      <c r="N36" s="4" t="s">
        <v>121</v>
      </c>
      <c r="O36" s="4" t="s">
        <v>120</v>
      </c>
      <c r="P36" s="4" t="s">
        <v>60</v>
      </c>
      <c r="Q36" s="4" t="s">
        <v>49</v>
      </c>
      <c r="T36" s="4" t="s">
        <v>293</v>
      </c>
      <c r="U36" s="4" t="s">
        <v>294</v>
      </c>
      <c r="V36" s="4" t="s">
        <v>295</v>
      </c>
      <c r="Y36" s="6">
        <v>44714</v>
      </c>
      <c r="Z36" s="6">
        <v>45033</v>
      </c>
      <c r="AA36" s="6">
        <v>44731</v>
      </c>
    </row>
    <row r="37" spans="1:27" x14ac:dyDescent="0.35">
      <c r="A37" s="7" t="s">
        <v>296</v>
      </c>
      <c r="B37" s="4" t="s">
        <v>297</v>
      </c>
      <c r="D37" s="4" t="s">
        <v>298</v>
      </c>
      <c r="E37" s="4" t="s">
        <v>299</v>
      </c>
      <c r="F37" s="4" t="s">
        <v>103</v>
      </c>
      <c r="G37" s="4">
        <v>0.45</v>
      </c>
      <c r="H37" s="4" t="s">
        <v>300</v>
      </c>
      <c r="J37" s="4" t="s">
        <v>105</v>
      </c>
      <c r="K37" s="4" t="s">
        <v>106</v>
      </c>
      <c r="L37" s="4" t="s">
        <v>181</v>
      </c>
      <c r="M37" s="4">
        <f>1.215/1000</f>
        <v>1.2150000000000002E-3</v>
      </c>
      <c r="N37" s="4" t="s">
        <v>2415</v>
      </c>
      <c r="O37" s="4" t="s">
        <v>49</v>
      </c>
      <c r="T37" s="4" t="s">
        <v>228</v>
      </c>
      <c r="U37" s="4" t="s">
        <v>301</v>
      </c>
      <c r="Y37" s="6">
        <v>44714</v>
      </c>
      <c r="Z37" s="6">
        <v>45027</v>
      </c>
      <c r="AA37" s="6">
        <v>44731</v>
      </c>
    </row>
    <row r="38" spans="1:27" x14ac:dyDescent="0.35">
      <c r="A38" s="7" t="s">
        <v>302</v>
      </c>
      <c r="B38" s="4" t="s">
        <v>303</v>
      </c>
      <c r="D38" s="4" t="s">
        <v>304</v>
      </c>
      <c r="E38" s="4" t="s">
        <v>305</v>
      </c>
      <c r="F38" s="4" t="s">
        <v>103</v>
      </c>
      <c r="G38" s="4">
        <v>2</v>
      </c>
      <c r="J38" s="4" t="s">
        <v>158</v>
      </c>
      <c r="K38" s="4" t="s">
        <v>106</v>
      </c>
      <c r="L38" s="4" t="s">
        <v>181</v>
      </c>
      <c r="N38" s="4" t="s">
        <v>120</v>
      </c>
      <c r="T38" s="4" t="s">
        <v>306</v>
      </c>
      <c r="V38" s="4" t="s">
        <v>307</v>
      </c>
      <c r="X38" s="4" t="s">
        <v>181</v>
      </c>
      <c r="Y38" s="6">
        <v>44714</v>
      </c>
      <c r="Z38" s="6"/>
    </row>
    <row r="39" spans="1:27" x14ac:dyDescent="0.35">
      <c r="A39" s="7" t="s">
        <v>308</v>
      </c>
      <c r="B39" s="4" t="s">
        <v>309</v>
      </c>
      <c r="D39" s="4" t="s">
        <v>310</v>
      </c>
      <c r="E39" s="4" t="s">
        <v>311</v>
      </c>
      <c r="F39" s="4" t="s">
        <v>103</v>
      </c>
      <c r="G39" s="4">
        <v>0.6</v>
      </c>
      <c r="H39" s="4" t="s">
        <v>312</v>
      </c>
      <c r="J39" s="4" t="s">
        <v>132</v>
      </c>
      <c r="K39" s="4" t="s">
        <v>36</v>
      </c>
      <c r="L39" s="4" t="s">
        <v>36</v>
      </c>
      <c r="M39" s="4">
        <f>39/1000</f>
        <v>3.9E-2</v>
      </c>
      <c r="N39" s="4" t="s">
        <v>60</v>
      </c>
      <c r="T39" s="4" t="s">
        <v>313</v>
      </c>
      <c r="U39" s="4" t="s">
        <v>314</v>
      </c>
      <c r="V39" s="11"/>
      <c r="W39" s="10"/>
      <c r="Y39" s="6">
        <v>45092</v>
      </c>
      <c r="Z39" s="6">
        <v>45092</v>
      </c>
      <c r="AA39" s="6">
        <v>45092</v>
      </c>
    </row>
    <row r="40" spans="1:27" x14ac:dyDescent="0.35">
      <c r="A40" s="7" t="s">
        <v>315</v>
      </c>
      <c r="B40" s="4" t="s">
        <v>316</v>
      </c>
      <c r="D40" s="4" t="s">
        <v>317</v>
      </c>
      <c r="E40" s="4" t="s">
        <v>318</v>
      </c>
      <c r="G40" s="4">
        <v>5</v>
      </c>
      <c r="H40" s="4" t="s">
        <v>319</v>
      </c>
      <c r="I40" s="4" t="s">
        <v>10</v>
      </c>
      <c r="J40" s="4" t="s">
        <v>180</v>
      </c>
      <c r="K40" s="4" t="s">
        <v>106</v>
      </c>
      <c r="M40" s="4">
        <f>0.1088/1000</f>
        <v>1.0879999999999999E-4</v>
      </c>
      <c r="N40" s="4" t="s">
        <v>120</v>
      </c>
      <c r="T40" s="4" t="s">
        <v>320</v>
      </c>
      <c r="V40" s="11"/>
      <c r="X40" s="4" t="s">
        <v>199</v>
      </c>
      <c r="Y40" s="6">
        <v>44714</v>
      </c>
      <c r="Z40" s="6">
        <v>45033</v>
      </c>
    </row>
    <row r="41" spans="1:27" x14ac:dyDescent="0.35">
      <c r="A41" s="7" t="s">
        <v>321</v>
      </c>
      <c r="B41" s="4" t="s">
        <v>322</v>
      </c>
      <c r="D41" s="4" t="s">
        <v>323</v>
      </c>
      <c r="F41" s="4" t="s">
        <v>103</v>
      </c>
      <c r="H41" s="4" t="s">
        <v>324</v>
      </c>
      <c r="J41" s="4" t="s">
        <v>132</v>
      </c>
      <c r="K41" s="4" t="s">
        <v>36</v>
      </c>
      <c r="L41" s="4" t="s">
        <v>36</v>
      </c>
      <c r="M41" s="4">
        <f>38.34/1000</f>
        <v>3.8340000000000006E-2</v>
      </c>
      <c r="N41" s="4" t="s">
        <v>60</v>
      </c>
      <c r="V41" s="11"/>
      <c r="Y41" s="6">
        <v>44714</v>
      </c>
      <c r="AA41" s="6">
        <v>45092</v>
      </c>
    </row>
    <row r="42" spans="1:27" x14ac:dyDescent="0.35">
      <c r="A42" s="7" t="s">
        <v>2536</v>
      </c>
      <c r="B42" s="4" t="s">
        <v>325</v>
      </c>
      <c r="D42" s="4" t="s">
        <v>326</v>
      </c>
      <c r="E42" s="4" t="s">
        <v>327</v>
      </c>
      <c r="F42" s="4" t="s">
        <v>130</v>
      </c>
      <c r="H42" s="4" t="s">
        <v>328</v>
      </c>
      <c r="J42" s="4" t="s">
        <v>132</v>
      </c>
      <c r="K42" s="4" t="s">
        <v>36</v>
      </c>
      <c r="L42" s="4" t="s">
        <v>36</v>
      </c>
      <c r="M42" s="4">
        <f>5.4/1000</f>
        <v>5.4000000000000003E-3</v>
      </c>
      <c r="N42" s="4" t="s">
        <v>60</v>
      </c>
      <c r="O42" s="4" t="s">
        <v>38</v>
      </c>
      <c r="T42" s="4" t="s">
        <v>329</v>
      </c>
      <c r="U42" s="4" t="s">
        <v>330</v>
      </c>
      <c r="V42" s="4" t="s">
        <v>331</v>
      </c>
      <c r="Y42" s="6">
        <v>45092</v>
      </c>
      <c r="Z42" s="6">
        <v>45092</v>
      </c>
      <c r="AA42" s="6">
        <v>45092</v>
      </c>
    </row>
    <row r="43" spans="1:27" x14ac:dyDescent="0.35">
      <c r="A43" s="7" t="s">
        <v>332</v>
      </c>
      <c r="B43" s="4" t="s">
        <v>333</v>
      </c>
      <c r="D43" s="4" t="s">
        <v>334</v>
      </c>
      <c r="F43" s="4" t="s">
        <v>130</v>
      </c>
      <c r="H43" s="4" t="s">
        <v>335</v>
      </c>
      <c r="I43" s="4" t="s">
        <v>10</v>
      </c>
      <c r="J43" s="4" t="s">
        <v>132</v>
      </c>
      <c r="K43" s="4" t="s">
        <v>36</v>
      </c>
      <c r="L43" s="4" t="s">
        <v>36</v>
      </c>
      <c r="N43" s="4" t="s">
        <v>60</v>
      </c>
      <c r="T43" s="4" t="s">
        <v>336</v>
      </c>
      <c r="U43" s="4" t="s">
        <v>337</v>
      </c>
      <c r="V43" s="11"/>
      <c r="Y43" s="6">
        <v>45092</v>
      </c>
      <c r="Z43" s="6">
        <v>45092</v>
      </c>
    </row>
    <row r="44" spans="1:27" x14ac:dyDescent="0.35">
      <c r="A44" s="7" t="s">
        <v>338</v>
      </c>
      <c r="B44" s="4" t="s">
        <v>339</v>
      </c>
      <c r="D44" s="4" t="s">
        <v>203</v>
      </c>
      <c r="F44" s="4" t="s">
        <v>103</v>
      </c>
      <c r="G44" s="4">
        <v>0.4</v>
      </c>
      <c r="H44" s="4" t="s">
        <v>340</v>
      </c>
      <c r="J44" s="4" t="s">
        <v>105</v>
      </c>
      <c r="K44" s="4" t="s">
        <v>106</v>
      </c>
      <c r="L44" s="4" t="s">
        <v>181</v>
      </c>
      <c r="M44" s="4">
        <f>2.7/1000</f>
        <v>2.7000000000000001E-3</v>
      </c>
      <c r="N44" s="4" t="s">
        <v>341</v>
      </c>
      <c r="T44" s="4" t="s">
        <v>342</v>
      </c>
      <c r="V44" s="11"/>
      <c r="W44" s="4" t="s">
        <v>343</v>
      </c>
      <c r="Y44" s="6">
        <v>44714</v>
      </c>
      <c r="Z44" s="6">
        <v>45034</v>
      </c>
      <c r="AA44" s="6">
        <v>44734</v>
      </c>
    </row>
    <row r="45" spans="1:27" x14ac:dyDescent="0.35">
      <c r="A45" s="7" t="s">
        <v>344</v>
      </c>
      <c r="B45" s="4" t="s">
        <v>345</v>
      </c>
      <c r="D45" s="4" t="s">
        <v>346</v>
      </c>
      <c r="J45" s="4" t="s">
        <v>347</v>
      </c>
      <c r="K45" s="4" t="s">
        <v>348</v>
      </c>
    </row>
    <row r="46" spans="1:27" x14ac:dyDescent="0.35">
      <c r="A46" s="7" t="s">
        <v>349</v>
      </c>
      <c r="B46" s="4" t="s">
        <v>350</v>
      </c>
      <c r="D46" s="4" t="s">
        <v>351</v>
      </c>
      <c r="F46" s="4" t="s">
        <v>87</v>
      </c>
      <c r="G46" s="4">
        <v>4</v>
      </c>
      <c r="J46" s="4" t="s">
        <v>158</v>
      </c>
      <c r="K46" s="4" t="s">
        <v>106</v>
      </c>
      <c r="L46" s="4" t="s">
        <v>159</v>
      </c>
      <c r="M46" s="4">
        <f>0.1/1000</f>
        <v>1E-4</v>
      </c>
      <c r="N46" s="4" t="s">
        <v>120</v>
      </c>
      <c r="O46" s="4" t="s">
        <v>49</v>
      </c>
      <c r="S46" s="4" t="s">
        <v>352</v>
      </c>
      <c r="T46" s="4" t="s">
        <v>353</v>
      </c>
      <c r="V46" s="4" t="s">
        <v>354</v>
      </c>
      <c r="Y46" s="6">
        <v>44715</v>
      </c>
      <c r="Z46" s="6"/>
      <c r="AA46" s="6">
        <v>44734</v>
      </c>
    </row>
    <row r="47" spans="1:27" x14ac:dyDescent="0.35">
      <c r="A47" s="7" t="s">
        <v>355</v>
      </c>
      <c r="B47" s="4" t="s">
        <v>356</v>
      </c>
      <c r="D47" s="4" t="s">
        <v>357</v>
      </c>
      <c r="E47" s="4" t="s">
        <v>358</v>
      </c>
      <c r="F47" s="4" t="s">
        <v>116</v>
      </c>
      <c r="G47" s="4">
        <v>15</v>
      </c>
      <c r="H47" s="4" t="s">
        <v>359</v>
      </c>
      <c r="J47" s="4" t="s">
        <v>360</v>
      </c>
      <c r="K47" s="4" t="s">
        <v>106</v>
      </c>
      <c r="L47" s="4" t="s">
        <v>119</v>
      </c>
      <c r="M47" s="4">
        <f>13.66/1000</f>
        <v>1.366E-2</v>
      </c>
      <c r="N47" s="4" t="s">
        <v>120</v>
      </c>
      <c r="S47" s="4" t="s">
        <v>361</v>
      </c>
      <c r="T47" s="4" t="s">
        <v>362</v>
      </c>
      <c r="U47" s="4" t="s">
        <v>363</v>
      </c>
      <c r="V47" s="4" t="s">
        <v>364</v>
      </c>
      <c r="Y47" s="6">
        <v>44715</v>
      </c>
      <c r="Z47" s="6"/>
      <c r="AA47" s="6">
        <v>45034</v>
      </c>
    </row>
    <row r="48" spans="1:27" x14ac:dyDescent="0.35">
      <c r="A48" s="7" t="s">
        <v>365</v>
      </c>
      <c r="B48" s="4" t="s">
        <v>366</v>
      </c>
      <c r="D48" s="4" t="s">
        <v>367</v>
      </c>
      <c r="F48" s="4" t="s">
        <v>87</v>
      </c>
      <c r="G48" s="4">
        <v>2</v>
      </c>
      <c r="H48" s="4" t="s">
        <v>368</v>
      </c>
      <c r="J48" s="4" t="s">
        <v>158</v>
      </c>
      <c r="K48" s="4" t="s">
        <v>106</v>
      </c>
      <c r="L48" s="4" t="s">
        <v>159</v>
      </c>
      <c r="N48" s="4" t="s">
        <v>120</v>
      </c>
      <c r="T48" s="4" t="s">
        <v>228</v>
      </c>
      <c r="Y48" s="6">
        <v>44715</v>
      </c>
      <c r="Z48" s="6">
        <v>45027</v>
      </c>
    </row>
    <row r="49" spans="1:27" x14ac:dyDescent="0.35">
      <c r="A49" s="7" t="s">
        <v>369</v>
      </c>
      <c r="B49" s="4" t="s">
        <v>370</v>
      </c>
      <c r="D49" s="4" t="s">
        <v>371</v>
      </c>
      <c r="E49" s="4" t="s">
        <v>372</v>
      </c>
      <c r="F49" s="4" t="s">
        <v>103</v>
      </c>
      <c r="G49" s="4">
        <v>15</v>
      </c>
      <c r="J49" s="4" t="s">
        <v>158</v>
      </c>
      <c r="K49" s="4" t="s">
        <v>106</v>
      </c>
      <c r="L49" s="4" t="s">
        <v>181</v>
      </c>
      <c r="M49" s="4">
        <f>0.12/1000</f>
        <v>1.1999999999999999E-4</v>
      </c>
      <c r="N49" s="4" t="s">
        <v>60</v>
      </c>
      <c r="O49" s="4" t="s">
        <v>2415</v>
      </c>
      <c r="T49" s="4" t="s">
        <v>373</v>
      </c>
      <c r="U49" s="4" t="s">
        <v>374</v>
      </c>
      <c r="V49" s="4" t="s">
        <v>375</v>
      </c>
      <c r="Y49" s="6">
        <v>44715</v>
      </c>
      <c r="Z49" s="6"/>
      <c r="AA49" s="6">
        <v>45034</v>
      </c>
    </row>
    <row r="50" spans="1:27" x14ac:dyDescent="0.35">
      <c r="A50" s="7" t="s">
        <v>376</v>
      </c>
      <c r="B50" s="4" t="s">
        <v>377</v>
      </c>
      <c r="D50" s="4" t="s">
        <v>378</v>
      </c>
      <c r="E50" s="4" t="s">
        <v>379</v>
      </c>
      <c r="F50" s="4" t="s">
        <v>87</v>
      </c>
      <c r="G50" s="4">
        <v>4</v>
      </c>
      <c r="H50" s="4" t="s">
        <v>380</v>
      </c>
      <c r="J50" s="4" t="s">
        <v>132</v>
      </c>
      <c r="K50" s="4" t="s">
        <v>36</v>
      </c>
      <c r="L50" s="4" t="s">
        <v>36</v>
      </c>
      <c r="M50" s="4">
        <f>8.45/1000</f>
        <v>8.4499999999999992E-3</v>
      </c>
      <c r="N50" s="4" t="s">
        <v>60</v>
      </c>
      <c r="T50" s="4" t="s">
        <v>381</v>
      </c>
      <c r="U50" s="4" t="s">
        <v>382</v>
      </c>
      <c r="V50" s="4" t="s">
        <v>383</v>
      </c>
      <c r="Y50" s="6">
        <v>45093</v>
      </c>
      <c r="Z50" s="6">
        <v>45093</v>
      </c>
      <c r="AA50" s="6">
        <v>45093</v>
      </c>
    </row>
    <row r="51" spans="1:27" x14ac:dyDescent="0.35">
      <c r="A51" s="7" t="s">
        <v>384</v>
      </c>
      <c r="B51" s="4" t="s">
        <v>385</v>
      </c>
      <c r="D51" s="4" t="s">
        <v>386</v>
      </c>
      <c r="E51" s="4" t="s">
        <v>387</v>
      </c>
      <c r="F51" s="4" t="s">
        <v>87</v>
      </c>
      <c r="G51" s="4">
        <v>7</v>
      </c>
      <c r="H51" s="4" t="s">
        <v>388</v>
      </c>
      <c r="I51" s="4" t="s">
        <v>10</v>
      </c>
      <c r="J51" s="4" t="s">
        <v>132</v>
      </c>
      <c r="K51" s="4" t="s">
        <v>36</v>
      </c>
      <c r="L51" s="4" t="s">
        <v>36</v>
      </c>
      <c r="M51" s="4">
        <f>42.2/1000</f>
        <v>4.2200000000000001E-2</v>
      </c>
      <c r="N51" s="4" t="s">
        <v>60</v>
      </c>
      <c r="T51" s="4" t="s">
        <v>389</v>
      </c>
      <c r="U51" s="4" t="s">
        <v>390</v>
      </c>
      <c r="Y51" s="6">
        <v>45093</v>
      </c>
    </row>
    <row r="52" spans="1:27" x14ac:dyDescent="0.35">
      <c r="A52" s="7" t="s">
        <v>391</v>
      </c>
      <c r="B52" s="4" t="s">
        <v>392</v>
      </c>
      <c r="D52" s="4" t="s">
        <v>393</v>
      </c>
      <c r="F52" s="4" t="s">
        <v>116</v>
      </c>
      <c r="G52" s="4">
        <v>25</v>
      </c>
      <c r="H52" s="4" t="s">
        <v>394</v>
      </c>
      <c r="J52" s="4" t="s">
        <v>213</v>
      </c>
      <c r="K52" s="4" t="s">
        <v>106</v>
      </c>
      <c r="L52" s="4" t="s">
        <v>395</v>
      </c>
      <c r="M52" s="4">
        <f>0.6/1000</f>
        <v>5.9999999999999995E-4</v>
      </c>
      <c r="N52" s="4" t="s">
        <v>120</v>
      </c>
      <c r="O52" s="4" t="s">
        <v>121</v>
      </c>
      <c r="P52" s="4" t="s">
        <v>60</v>
      </c>
      <c r="T52" s="4" t="s">
        <v>396</v>
      </c>
      <c r="U52" s="4" t="s">
        <v>397</v>
      </c>
      <c r="V52" s="4" t="s">
        <v>398</v>
      </c>
      <c r="Y52" s="6">
        <v>44715</v>
      </c>
      <c r="Z52" s="6">
        <v>45034</v>
      </c>
      <c r="AA52" s="6">
        <v>44731</v>
      </c>
    </row>
    <row r="53" spans="1:27" x14ac:dyDescent="0.35">
      <c r="A53" s="7" t="s">
        <v>399</v>
      </c>
      <c r="B53" s="4" t="s">
        <v>400</v>
      </c>
      <c r="D53" s="4" t="s">
        <v>401</v>
      </c>
      <c r="F53" s="4" t="s">
        <v>103</v>
      </c>
      <c r="G53" s="4">
        <v>2</v>
      </c>
      <c r="H53" s="4" t="s">
        <v>402</v>
      </c>
      <c r="I53" s="4" t="s">
        <v>10</v>
      </c>
      <c r="J53" s="4" t="s">
        <v>158</v>
      </c>
      <c r="K53" s="4" t="s">
        <v>106</v>
      </c>
      <c r="L53" s="4" t="s">
        <v>403</v>
      </c>
      <c r="M53" s="4">
        <f>4.93/1000</f>
        <v>4.9299999999999995E-3</v>
      </c>
      <c r="N53" s="4" t="s">
        <v>121</v>
      </c>
      <c r="O53" s="4" t="s">
        <v>49</v>
      </c>
      <c r="T53" s="4" t="s">
        <v>404</v>
      </c>
      <c r="U53" s="10" t="s">
        <v>405</v>
      </c>
      <c r="V53" s="4" t="s">
        <v>406</v>
      </c>
      <c r="Y53" s="6">
        <v>44715</v>
      </c>
      <c r="Z53" s="6">
        <v>45034</v>
      </c>
      <c r="AA53" s="6">
        <v>44731</v>
      </c>
    </row>
    <row r="54" spans="1:27" x14ac:dyDescent="0.35">
      <c r="A54" s="7" t="s">
        <v>2537</v>
      </c>
      <c r="B54" s="4" t="s">
        <v>407</v>
      </c>
      <c r="E54" s="4" t="s">
        <v>408</v>
      </c>
      <c r="F54" s="4" t="s">
        <v>130</v>
      </c>
      <c r="H54" s="4" t="s">
        <v>409</v>
      </c>
      <c r="J54" s="4" t="s">
        <v>410</v>
      </c>
      <c r="K54" s="4" t="s">
        <v>36</v>
      </c>
      <c r="L54" s="4" t="s">
        <v>36</v>
      </c>
      <c r="N54" s="4" t="s">
        <v>60</v>
      </c>
      <c r="W54" s="4" t="s">
        <v>411</v>
      </c>
      <c r="Y54" s="6">
        <v>44715</v>
      </c>
      <c r="Z54" s="6"/>
    </row>
    <row r="55" spans="1:27" x14ac:dyDescent="0.35">
      <c r="A55" s="7" t="s">
        <v>412</v>
      </c>
      <c r="B55" s="4" t="s">
        <v>413</v>
      </c>
      <c r="D55" s="4" t="s">
        <v>414</v>
      </c>
      <c r="F55" s="4" t="s">
        <v>178</v>
      </c>
      <c r="G55" s="4">
        <v>0.8</v>
      </c>
      <c r="H55" s="4" t="s">
        <v>415</v>
      </c>
      <c r="J55" s="4" t="s">
        <v>180</v>
      </c>
      <c r="K55" s="4" t="s">
        <v>106</v>
      </c>
      <c r="L55" s="4" t="s">
        <v>416</v>
      </c>
      <c r="M55" s="4">
        <f>3/1000</f>
        <v>3.0000000000000001E-3</v>
      </c>
      <c r="N55" s="4" t="s">
        <v>121</v>
      </c>
      <c r="O55" s="4" t="s">
        <v>2415</v>
      </c>
      <c r="P55" s="4" t="s">
        <v>60</v>
      </c>
      <c r="T55" s="4" t="s">
        <v>417</v>
      </c>
      <c r="U55" s="10" t="s">
        <v>418</v>
      </c>
      <c r="V55" s="4" t="s">
        <v>419</v>
      </c>
      <c r="Y55" s="6">
        <v>44715</v>
      </c>
      <c r="Z55" s="6"/>
      <c r="AA55" s="6">
        <v>44731</v>
      </c>
    </row>
    <row r="56" spans="1:27" x14ac:dyDescent="0.35">
      <c r="A56" s="7" t="s">
        <v>420</v>
      </c>
      <c r="B56" s="4" t="s">
        <v>421</v>
      </c>
      <c r="C56" s="4" t="s">
        <v>422</v>
      </c>
      <c r="D56" s="4" t="s">
        <v>423</v>
      </c>
      <c r="E56" s="4" t="s">
        <v>424</v>
      </c>
      <c r="F56" s="4" t="s">
        <v>130</v>
      </c>
      <c r="G56" s="4">
        <v>6</v>
      </c>
      <c r="H56" s="4" t="s">
        <v>425</v>
      </c>
      <c r="I56" s="4" t="s">
        <v>10</v>
      </c>
      <c r="J56" s="4" t="s">
        <v>132</v>
      </c>
      <c r="K56" s="4" t="s">
        <v>36</v>
      </c>
      <c r="L56" s="4" t="s">
        <v>36</v>
      </c>
      <c r="M56" s="4">
        <f>22.47/1000</f>
        <v>2.247E-2</v>
      </c>
      <c r="N56" s="4" t="s">
        <v>60</v>
      </c>
      <c r="T56" s="4" t="s">
        <v>27</v>
      </c>
      <c r="U56" s="4" t="s">
        <v>426</v>
      </c>
      <c r="V56" s="4" t="s">
        <v>427</v>
      </c>
      <c r="Z56" s="6">
        <v>45093</v>
      </c>
      <c r="AA56" s="6">
        <v>45093</v>
      </c>
    </row>
    <row r="57" spans="1:27" x14ac:dyDescent="0.35">
      <c r="A57" s="7" t="s">
        <v>431</v>
      </c>
      <c r="B57" s="4" t="s">
        <v>432</v>
      </c>
      <c r="D57" s="4" t="s">
        <v>433</v>
      </c>
      <c r="F57" s="4" t="s">
        <v>87</v>
      </c>
      <c r="G57" s="4">
        <v>3</v>
      </c>
      <c r="H57" s="4" t="s">
        <v>434</v>
      </c>
      <c r="I57" s="4" t="s">
        <v>10</v>
      </c>
      <c r="J57" s="4" t="s">
        <v>105</v>
      </c>
      <c r="K57" s="4" t="s">
        <v>106</v>
      </c>
      <c r="L57" s="4" t="s">
        <v>435</v>
      </c>
      <c r="M57" s="4">
        <f>0.1/1000</f>
        <v>1E-4</v>
      </c>
      <c r="N57" s="4" t="s">
        <v>120</v>
      </c>
      <c r="O57" s="4" t="s">
        <v>49</v>
      </c>
      <c r="T57" s="4" t="s">
        <v>140</v>
      </c>
      <c r="U57" s="4" t="s">
        <v>436</v>
      </c>
      <c r="V57" s="4" t="s">
        <v>437</v>
      </c>
      <c r="Y57" s="6">
        <v>44715</v>
      </c>
      <c r="Z57" s="6"/>
      <c r="AA57" s="6">
        <v>44731</v>
      </c>
    </row>
    <row r="58" spans="1:27" x14ac:dyDescent="0.35">
      <c r="A58" s="7" t="s">
        <v>438</v>
      </c>
      <c r="B58" s="4" t="s">
        <v>439</v>
      </c>
      <c r="D58" s="4" t="s">
        <v>440</v>
      </c>
      <c r="E58" s="4" t="s">
        <v>441</v>
      </c>
      <c r="J58" s="4" t="s">
        <v>132</v>
      </c>
      <c r="K58" s="4" t="s">
        <v>36</v>
      </c>
      <c r="X58" s="4" t="s">
        <v>181</v>
      </c>
      <c r="Y58" s="6">
        <v>44731</v>
      </c>
      <c r="Z58" s="6"/>
    </row>
    <row r="59" spans="1:27" x14ac:dyDescent="0.35">
      <c r="A59" s="7" t="s">
        <v>442</v>
      </c>
      <c r="B59" s="4" t="s">
        <v>443</v>
      </c>
      <c r="D59" s="4" t="s">
        <v>444</v>
      </c>
      <c r="E59" s="4" t="s">
        <v>445</v>
      </c>
      <c r="F59" s="4" t="s">
        <v>87</v>
      </c>
      <c r="G59" s="4">
        <v>15</v>
      </c>
      <c r="H59" s="4" t="s">
        <v>446</v>
      </c>
      <c r="J59" s="4" t="s">
        <v>447</v>
      </c>
      <c r="K59" s="4" t="s">
        <v>106</v>
      </c>
      <c r="L59" s="4" t="s">
        <v>181</v>
      </c>
      <c r="M59" s="4">
        <f>1244.9/1000</f>
        <v>1.2449000000000001</v>
      </c>
      <c r="N59" s="4" t="s">
        <v>2415</v>
      </c>
      <c r="T59" s="4" t="s">
        <v>221</v>
      </c>
      <c r="U59" s="4" t="s">
        <v>448</v>
      </c>
      <c r="Y59" s="6">
        <v>44715</v>
      </c>
      <c r="Z59" s="6"/>
      <c r="AA59" s="6">
        <v>45034</v>
      </c>
    </row>
    <row r="60" spans="1:27" x14ac:dyDescent="0.35">
      <c r="A60" s="7" t="s">
        <v>449</v>
      </c>
      <c r="B60" s="4" t="s">
        <v>450</v>
      </c>
      <c r="C60" s="4" t="s">
        <v>451</v>
      </c>
      <c r="D60" s="4" t="s">
        <v>452</v>
      </c>
      <c r="E60" s="4" t="s">
        <v>453</v>
      </c>
      <c r="F60" s="4" t="s">
        <v>116</v>
      </c>
      <c r="G60" s="4">
        <v>7</v>
      </c>
      <c r="H60" s="4" t="s">
        <v>454</v>
      </c>
      <c r="J60" s="4" t="s">
        <v>447</v>
      </c>
      <c r="K60" s="4" t="s">
        <v>106</v>
      </c>
      <c r="L60" s="4" t="s">
        <v>181</v>
      </c>
      <c r="N60" s="4" t="s">
        <v>341</v>
      </c>
      <c r="T60" s="4" t="s">
        <v>455</v>
      </c>
      <c r="U60" s="4" t="s">
        <v>208</v>
      </c>
      <c r="V60" s="4" t="s">
        <v>456</v>
      </c>
      <c r="Y60" s="6">
        <v>44715</v>
      </c>
      <c r="Z60" s="6"/>
    </row>
    <row r="61" spans="1:27" x14ac:dyDescent="0.35">
      <c r="A61" s="7" t="s">
        <v>457</v>
      </c>
      <c r="B61" s="4" t="s">
        <v>458</v>
      </c>
      <c r="D61" s="4" t="s">
        <v>459</v>
      </c>
      <c r="F61" s="4" t="s">
        <v>87</v>
      </c>
      <c r="G61" s="4">
        <v>0.5</v>
      </c>
      <c r="H61" s="4" t="s">
        <v>460</v>
      </c>
      <c r="I61" s="4" t="s">
        <v>10</v>
      </c>
      <c r="J61" s="4" t="s">
        <v>105</v>
      </c>
      <c r="K61" s="4" t="s">
        <v>106</v>
      </c>
      <c r="L61" s="4" t="s">
        <v>181</v>
      </c>
      <c r="M61" s="4">
        <f>0.03/1000</f>
        <v>2.9999999999999997E-5</v>
      </c>
      <c r="N61" s="4" t="s">
        <v>2415</v>
      </c>
      <c r="O61" s="4" t="s">
        <v>60</v>
      </c>
      <c r="P61" s="4" t="s">
        <v>121</v>
      </c>
      <c r="Q61" s="4" t="s">
        <v>49</v>
      </c>
      <c r="S61" s="4" t="s">
        <v>461</v>
      </c>
      <c r="T61" s="4" t="s">
        <v>462</v>
      </c>
      <c r="U61" s="4" t="s">
        <v>463</v>
      </c>
      <c r="V61" s="4" t="s">
        <v>464</v>
      </c>
      <c r="Y61" s="6">
        <v>44715</v>
      </c>
      <c r="Z61" s="6">
        <v>45034</v>
      </c>
      <c r="AA61" s="6">
        <v>44732</v>
      </c>
    </row>
    <row r="62" spans="1:27" x14ac:dyDescent="0.35">
      <c r="A62" s="7" t="s">
        <v>2538</v>
      </c>
      <c r="B62" s="4" t="s">
        <v>465</v>
      </c>
      <c r="C62" s="4" t="s">
        <v>466</v>
      </c>
      <c r="D62" s="4" t="s">
        <v>467</v>
      </c>
      <c r="E62" s="4" t="s">
        <v>468</v>
      </c>
      <c r="F62" s="4" t="s">
        <v>130</v>
      </c>
      <c r="G62" s="4" t="s">
        <v>469</v>
      </c>
      <c r="H62" s="4" t="s">
        <v>470</v>
      </c>
      <c r="I62" s="4" t="s">
        <v>10</v>
      </c>
      <c r="J62" s="4" t="s">
        <v>105</v>
      </c>
      <c r="K62" s="4" t="s">
        <v>106</v>
      </c>
      <c r="L62" s="4" t="s">
        <v>181</v>
      </c>
      <c r="M62" s="4">
        <f>21.256/1000</f>
        <v>2.1256000000000001E-2</v>
      </c>
      <c r="N62" s="4" t="s">
        <v>341</v>
      </c>
      <c r="T62" s="4" t="s">
        <v>140</v>
      </c>
      <c r="U62" s="4" t="s">
        <v>471</v>
      </c>
      <c r="V62" s="4" t="s">
        <v>472</v>
      </c>
      <c r="W62" s="4" t="s">
        <v>473</v>
      </c>
      <c r="Y62" s="6">
        <v>44715</v>
      </c>
      <c r="Z62" s="6">
        <v>45034</v>
      </c>
      <c r="AA62" s="6">
        <v>44732</v>
      </c>
    </row>
    <row r="63" spans="1:27" x14ac:dyDescent="0.35">
      <c r="A63" s="7" t="s">
        <v>474</v>
      </c>
      <c r="B63" s="4" t="s">
        <v>475</v>
      </c>
      <c r="D63" s="4" t="s">
        <v>476</v>
      </c>
      <c r="F63" s="4" t="s">
        <v>103</v>
      </c>
      <c r="G63" s="4">
        <v>2</v>
      </c>
      <c r="H63" s="4" t="s">
        <v>477</v>
      </c>
      <c r="I63" s="4" t="s">
        <v>10</v>
      </c>
      <c r="J63" s="4" t="s">
        <v>105</v>
      </c>
      <c r="K63" s="4" t="s">
        <v>106</v>
      </c>
      <c r="L63" s="4" t="s">
        <v>181</v>
      </c>
      <c r="M63" s="4">
        <f>155.15/1000</f>
        <v>0.15515000000000001</v>
      </c>
      <c r="N63" s="4" t="s">
        <v>341</v>
      </c>
      <c r="T63" s="4" t="s">
        <v>140</v>
      </c>
      <c r="U63" s="4" t="s">
        <v>471</v>
      </c>
      <c r="Y63" s="6">
        <v>44715</v>
      </c>
      <c r="Z63" s="6">
        <v>45034</v>
      </c>
      <c r="AA63" s="6">
        <v>45034</v>
      </c>
    </row>
    <row r="64" spans="1:27" x14ac:dyDescent="0.35">
      <c r="A64" s="7" t="s">
        <v>478</v>
      </c>
      <c r="B64" s="4" t="s">
        <v>479</v>
      </c>
      <c r="D64" s="4" t="s">
        <v>480</v>
      </c>
      <c r="F64" s="4" t="s">
        <v>103</v>
      </c>
      <c r="G64" s="4" t="s">
        <v>481</v>
      </c>
      <c r="H64" s="4" t="s">
        <v>482</v>
      </c>
      <c r="I64" s="4" t="s">
        <v>10</v>
      </c>
      <c r="J64" s="4" t="s">
        <v>483</v>
      </c>
      <c r="K64" s="4" t="s">
        <v>106</v>
      </c>
      <c r="L64" s="4" t="s">
        <v>484</v>
      </c>
      <c r="M64" s="4">
        <f>0.69/1000</f>
        <v>6.8999999999999997E-4</v>
      </c>
      <c r="N64" s="4" t="s">
        <v>49</v>
      </c>
      <c r="O64" s="4" t="s">
        <v>60</v>
      </c>
      <c r="T64" s="4" t="s">
        <v>485</v>
      </c>
      <c r="V64" s="4" t="s">
        <v>486</v>
      </c>
      <c r="Y64" s="6">
        <v>44715</v>
      </c>
      <c r="Z64" s="6">
        <v>45034</v>
      </c>
      <c r="AA64" s="6">
        <v>44732</v>
      </c>
    </row>
    <row r="65" spans="1:27" x14ac:dyDescent="0.35">
      <c r="A65" s="7" t="s">
        <v>487</v>
      </c>
      <c r="B65" s="4" t="s">
        <v>488</v>
      </c>
      <c r="D65" s="4" t="s">
        <v>489</v>
      </c>
      <c r="F65" s="4" t="s">
        <v>103</v>
      </c>
      <c r="G65" s="4">
        <v>0.6</v>
      </c>
      <c r="J65" s="4" t="s">
        <v>483</v>
      </c>
      <c r="K65" s="4" t="s">
        <v>106</v>
      </c>
      <c r="M65" s="4">
        <f>1.36/1000</f>
        <v>1.3600000000000001E-3</v>
      </c>
      <c r="N65" s="4" t="s">
        <v>341</v>
      </c>
      <c r="V65" s="4" t="s">
        <v>490</v>
      </c>
      <c r="Y65" s="6">
        <v>44715</v>
      </c>
      <c r="Z65" s="6"/>
      <c r="AA65" s="6">
        <v>44732</v>
      </c>
    </row>
    <row r="66" spans="1:27" x14ac:dyDescent="0.35">
      <c r="A66" s="7" t="s">
        <v>491</v>
      </c>
      <c r="B66" s="4" t="s">
        <v>492</v>
      </c>
      <c r="D66" s="4" t="s">
        <v>493</v>
      </c>
      <c r="F66" s="4" t="s">
        <v>103</v>
      </c>
      <c r="G66" s="4">
        <v>0.6</v>
      </c>
      <c r="H66" s="4" t="s">
        <v>494</v>
      </c>
      <c r="J66" s="4" t="s">
        <v>483</v>
      </c>
      <c r="K66" s="4" t="s">
        <v>106</v>
      </c>
      <c r="M66" s="4">
        <f>2.51/1000</f>
        <v>2.5099999999999996E-3</v>
      </c>
      <c r="N66" s="4" t="s">
        <v>341</v>
      </c>
      <c r="U66" s="4" t="s">
        <v>495</v>
      </c>
      <c r="V66" s="4" t="s">
        <v>490</v>
      </c>
      <c r="Y66" s="6">
        <v>44715</v>
      </c>
      <c r="Z66" s="6">
        <v>45034</v>
      </c>
      <c r="AA66" s="6">
        <v>44732</v>
      </c>
    </row>
    <row r="67" spans="1:27" x14ac:dyDescent="0.35">
      <c r="A67" s="7" t="s">
        <v>496</v>
      </c>
      <c r="B67" s="4" t="s">
        <v>497</v>
      </c>
      <c r="D67" s="4" t="s">
        <v>498</v>
      </c>
      <c r="F67" s="4" t="s">
        <v>103</v>
      </c>
      <c r="G67" s="4">
        <v>0.5</v>
      </c>
      <c r="J67" s="4" t="s">
        <v>483</v>
      </c>
      <c r="K67" s="4" t="s">
        <v>106</v>
      </c>
      <c r="L67" s="4" t="s">
        <v>181</v>
      </c>
      <c r="M67" s="4">
        <f>0.9/1000</f>
        <v>8.9999999999999998E-4</v>
      </c>
      <c r="N67" s="4" t="s">
        <v>121</v>
      </c>
      <c r="O67" s="4" t="s">
        <v>60</v>
      </c>
      <c r="P67" s="4" t="s">
        <v>49</v>
      </c>
      <c r="T67" s="4" t="s">
        <v>499</v>
      </c>
      <c r="U67" s="4" t="s">
        <v>500</v>
      </c>
      <c r="V67" s="4" t="s">
        <v>501</v>
      </c>
      <c r="Y67" s="6">
        <v>44715</v>
      </c>
      <c r="Z67" s="6"/>
      <c r="AA67" s="6">
        <v>44732</v>
      </c>
    </row>
    <row r="68" spans="1:27" x14ac:dyDescent="0.35">
      <c r="A68" s="7" t="s">
        <v>502</v>
      </c>
      <c r="B68" s="4" t="s">
        <v>503</v>
      </c>
      <c r="C68" s="4" t="s">
        <v>504</v>
      </c>
      <c r="D68" s="4" t="s">
        <v>505</v>
      </c>
      <c r="F68" s="4" t="s">
        <v>103</v>
      </c>
      <c r="G68" s="4">
        <v>0.6</v>
      </c>
      <c r="H68" s="4" t="s">
        <v>506</v>
      </c>
      <c r="J68" s="4" t="s">
        <v>483</v>
      </c>
      <c r="K68" s="4" t="s">
        <v>106</v>
      </c>
      <c r="L68" s="4" t="s">
        <v>181</v>
      </c>
      <c r="M68" s="4">
        <f>0.63/1000</f>
        <v>6.3000000000000003E-4</v>
      </c>
      <c r="N68" s="4" t="s">
        <v>60</v>
      </c>
      <c r="T68" s="4" t="s">
        <v>27</v>
      </c>
      <c r="U68" s="4" t="s">
        <v>507</v>
      </c>
      <c r="V68" s="4" t="s">
        <v>490</v>
      </c>
      <c r="W68" s="4" t="s">
        <v>2392</v>
      </c>
      <c r="Y68" s="6">
        <v>44715</v>
      </c>
      <c r="Z68" s="6">
        <v>45034</v>
      </c>
      <c r="AA68" s="6">
        <v>44732</v>
      </c>
    </row>
    <row r="69" spans="1:27" x14ac:dyDescent="0.35">
      <c r="A69" s="7" t="s">
        <v>2539</v>
      </c>
      <c r="B69" s="4" t="s">
        <v>508</v>
      </c>
      <c r="C69" s="4" t="s">
        <v>509</v>
      </c>
      <c r="D69" s="4" t="s">
        <v>510</v>
      </c>
      <c r="F69" s="4" t="s">
        <v>103</v>
      </c>
      <c r="G69" s="4">
        <v>0.9</v>
      </c>
      <c r="H69" s="4" t="s">
        <v>511</v>
      </c>
      <c r="J69" s="4" t="s">
        <v>483</v>
      </c>
      <c r="K69" s="4" t="s">
        <v>106</v>
      </c>
      <c r="L69" s="4" t="s">
        <v>181</v>
      </c>
      <c r="M69" s="4">
        <f>1.7/1000</f>
        <v>1.6999999999999999E-3</v>
      </c>
      <c r="N69" s="4" t="s">
        <v>2415</v>
      </c>
      <c r="O69" s="4" t="s">
        <v>121</v>
      </c>
      <c r="T69" s="4" t="s">
        <v>512</v>
      </c>
      <c r="U69" s="4" t="s">
        <v>513</v>
      </c>
      <c r="V69" s="4" t="s">
        <v>490</v>
      </c>
      <c r="Y69" s="6">
        <v>44715</v>
      </c>
      <c r="Z69" s="6">
        <v>45034</v>
      </c>
      <c r="AA69" s="6">
        <v>44732</v>
      </c>
    </row>
    <row r="70" spans="1:27" x14ac:dyDescent="0.35">
      <c r="A70" s="7" t="s">
        <v>514</v>
      </c>
      <c r="B70" s="4" t="s">
        <v>515</v>
      </c>
      <c r="D70" s="4" t="s">
        <v>516</v>
      </c>
      <c r="F70" s="4" t="s">
        <v>103</v>
      </c>
      <c r="G70" s="4">
        <v>0.9</v>
      </c>
      <c r="H70" s="4" t="s">
        <v>517</v>
      </c>
      <c r="J70" s="4" t="s">
        <v>483</v>
      </c>
      <c r="K70" s="4" t="s">
        <v>106</v>
      </c>
      <c r="L70" s="4" t="s">
        <v>181</v>
      </c>
      <c r="M70" s="4">
        <f>1.162/1000</f>
        <v>1.1619999999999998E-3</v>
      </c>
      <c r="N70" s="4" t="s">
        <v>60</v>
      </c>
      <c r="T70" s="4" t="s">
        <v>27</v>
      </c>
      <c r="U70" s="4" t="s">
        <v>518</v>
      </c>
      <c r="V70" s="4" t="s">
        <v>490</v>
      </c>
      <c r="W70" s="4" t="s">
        <v>2392</v>
      </c>
      <c r="Y70" s="6">
        <v>44715</v>
      </c>
      <c r="Z70" s="6">
        <v>45034</v>
      </c>
      <c r="AA70" s="6">
        <v>44732</v>
      </c>
    </row>
    <row r="71" spans="1:27" x14ac:dyDescent="0.35">
      <c r="A71" s="7" t="s">
        <v>519</v>
      </c>
      <c r="B71" s="4" t="s">
        <v>520</v>
      </c>
      <c r="F71" s="4" t="s">
        <v>103</v>
      </c>
      <c r="G71" s="4">
        <v>2.5</v>
      </c>
      <c r="J71" s="4" t="s">
        <v>483</v>
      </c>
      <c r="K71" s="4" t="s">
        <v>106</v>
      </c>
      <c r="L71" s="4" t="s">
        <v>181</v>
      </c>
      <c r="M71" s="4">
        <f>0.75/1000</f>
        <v>7.5000000000000002E-4</v>
      </c>
      <c r="N71" s="4" t="s">
        <v>341</v>
      </c>
      <c r="V71" s="4" t="s">
        <v>490</v>
      </c>
      <c r="Y71" s="6">
        <v>44715</v>
      </c>
      <c r="Z71" s="6"/>
      <c r="AA71" s="6">
        <v>44732</v>
      </c>
    </row>
    <row r="72" spans="1:27" x14ac:dyDescent="0.35">
      <c r="A72" s="7" t="s">
        <v>521</v>
      </c>
      <c r="B72" s="4" t="s">
        <v>522</v>
      </c>
      <c r="F72" s="4" t="s">
        <v>103</v>
      </c>
      <c r="G72" s="4">
        <v>0.9</v>
      </c>
      <c r="H72" s="4" t="s">
        <v>523</v>
      </c>
      <c r="J72" s="4" t="s">
        <v>483</v>
      </c>
      <c r="K72" s="4" t="s">
        <v>106</v>
      </c>
      <c r="L72" s="4" t="s">
        <v>181</v>
      </c>
      <c r="M72" s="4">
        <f>0.4372/1000</f>
        <v>4.372E-4</v>
      </c>
      <c r="N72" s="4" t="s">
        <v>60</v>
      </c>
      <c r="T72" s="4" t="s">
        <v>27</v>
      </c>
      <c r="U72" s="4" t="s">
        <v>524</v>
      </c>
      <c r="V72" s="4" t="s">
        <v>490</v>
      </c>
      <c r="W72" s="4" t="s">
        <v>2392</v>
      </c>
      <c r="Y72" s="6">
        <v>44715</v>
      </c>
      <c r="Z72" s="6">
        <v>45034</v>
      </c>
      <c r="AA72" s="6">
        <v>44732</v>
      </c>
    </row>
    <row r="73" spans="1:27" x14ac:dyDescent="0.35">
      <c r="A73" s="7" t="s">
        <v>2540</v>
      </c>
      <c r="B73" s="4" t="s">
        <v>525</v>
      </c>
      <c r="C73" s="4" t="s">
        <v>526</v>
      </c>
      <c r="D73" s="4" t="s">
        <v>527</v>
      </c>
      <c r="E73" s="4" t="s">
        <v>528</v>
      </c>
      <c r="F73" s="4" t="s">
        <v>103</v>
      </c>
      <c r="H73" s="4" t="s">
        <v>529</v>
      </c>
      <c r="J73" s="4" t="s">
        <v>530</v>
      </c>
      <c r="K73" s="4" t="s">
        <v>36</v>
      </c>
      <c r="L73" s="4" t="s">
        <v>36</v>
      </c>
      <c r="M73" s="4">
        <f>0.34/1000</f>
        <v>3.4000000000000002E-4</v>
      </c>
      <c r="N73" s="4" t="s">
        <v>60</v>
      </c>
      <c r="T73" s="4" t="s">
        <v>531</v>
      </c>
      <c r="V73" s="4" t="s">
        <v>532</v>
      </c>
      <c r="Y73" s="6">
        <v>45093</v>
      </c>
      <c r="AA73" s="6">
        <v>45093</v>
      </c>
    </row>
    <row r="74" spans="1:27" x14ac:dyDescent="0.35">
      <c r="A74" s="7" t="s">
        <v>2541</v>
      </c>
      <c r="B74" s="4" t="s">
        <v>533</v>
      </c>
      <c r="D74" s="4" t="s">
        <v>527</v>
      </c>
      <c r="E74" s="4" t="s">
        <v>528</v>
      </c>
      <c r="F74" s="4" t="s">
        <v>103</v>
      </c>
      <c r="H74" s="4" t="s">
        <v>534</v>
      </c>
      <c r="J74" s="4" t="s">
        <v>530</v>
      </c>
      <c r="K74" s="4" t="s">
        <v>36</v>
      </c>
      <c r="L74" s="4" t="s">
        <v>36</v>
      </c>
      <c r="M74" s="4">
        <f>0.37/1000</f>
        <v>3.6999999999999999E-4</v>
      </c>
      <c r="N74" s="4" t="s">
        <v>60</v>
      </c>
      <c r="T74" s="4" t="s">
        <v>535</v>
      </c>
      <c r="V74" s="4" t="s">
        <v>536</v>
      </c>
      <c r="Y74" s="6">
        <v>45093</v>
      </c>
      <c r="AA74" s="6">
        <v>45093</v>
      </c>
    </row>
    <row r="75" spans="1:27" x14ac:dyDescent="0.35">
      <c r="A75" s="7" t="s">
        <v>537</v>
      </c>
      <c r="B75" s="4" t="s">
        <v>538</v>
      </c>
      <c r="D75" s="4" t="s">
        <v>539</v>
      </c>
      <c r="F75" s="4" t="s">
        <v>116</v>
      </c>
      <c r="G75" s="4">
        <v>15</v>
      </c>
      <c r="J75" s="4" t="s">
        <v>360</v>
      </c>
      <c r="K75" s="4" t="s">
        <v>106</v>
      </c>
      <c r="L75" s="4" t="s">
        <v>119</v>
      </c>
      <c r="M75" s="4">
        <f>3/1000</f>
        <v>3.0000000000000001E-3</v>
      </c>
      <c r="N75" s="4" t="s">
        <v>120</v>
      </c>
      <c r="V75" s="4" t="s">
        <v>540</v>
      </c>
      <c r="W75" s="4" t="s">
        <v>541</v>
      </c>
      <c r="Y75" s="6">
        <v>44715</v>
      </c>
      <c r="Z75" s="6"/>
      <c r="AA75" s="6">
        <v>44732</v>
      </c>
    </row>
    <row r="76" spans="1:27" x14ac:dyDescent="0.35">
      <c r="A76" s="7" t="s">
        <v>2542</v>
      </c>
      <c r="B76" s="4" t="s">
        <v>2444</v>
      </c>
      <c r="K76" s="4" t="s">
        <v>2334</v>
      </c>
      <c r="Y76" s="6"/>
      <c r="Z76" s="6"/>
      <c r="AA76" s="6"/>
    </row>
    <row r="77" spans="1:27" x14ac:dyDescent="0.35">
      <c r="A77" s="7" t="s">
        <v>2543</v>
      </c>
      <c r="B77" s="4" t="s">
        <v>542</v>
      </c>
      <c r="D77" s="4" t="s">
        <v>543</v>
      </c>
      <c r="E77" s="4" t="s">
        <v>544</v>
      </c>
      <c r="F77" s="4" t="s">
        <v>130</v>
      </c>
      <c r="G77" s="4">
        <v>12</v>
      </c>
      <c r="H77" s="4" t="s">
        <v>545</v>
      </c>
      <c r="I77" s="4" t="s">
        <v>10</v>
      </c>
      <c r="J77" s="4" t="s">
        <v>546</v>
      </c>
      <c r="K77" s="4" t="s">
        <v>36</v>
      </c>
      <c r="L77" s="4" t="s">
        <v>36</v>
      </c>
      <c r="M77" s="4">
        <f>10.48/1000</f>
        <v>1.048E-2</v>
      </c>
      <c r="N77" s="4" t="s">
        <v>60</v>
      </c>
      <c r="T77" s="4" t="s">
        <v>547</v>
      </c>
      <c r="U77" s="4" t="s">
        <v>548</v>
      </c>
      <c r="V77" s="4" t="s">
        <v>549</v>
      </c>
      <c r="Y77" s="6">
        <v>45093</v>
      </c>
      <c r="Z77" s="6">
        <v>45093</v>
      </c>
      <c r="AA77" s="6">
        <v>45093</v>
      </c>
    </row>
    <row r="78" spans="1:27" x14ac:dyDescent="0.35">
      <c r="A78" s="7" t="s">
        <v>2544</v>
      </c>
      <c r="B78" s="4" t="s">
        <v>550</v>
      </c>
      <c r="C78" s="4" t="s">
        <v>551</v>
      </c>
      <c r="D78" s="4" t="s">
        <v>552</v>
      </c>
      <c r="E78" s="4" t="s">
        <v>553</v>
      </c>
      <c r="F78" s="4" t="s">
        <v>178</v>
      </c>
      <c r="G78" s="4" t="s">
        <v>481</v>
      </c>
      <c r="J78" s="4" t="s">
        <v>180</v>
      </c>
      <c r="K78" s="4" t="s">
        <v>106</v>
      </c>
      <c r="L78" s="4" t="s">
        <v>554</v>
      </c>
      <c r="N78" s="4" t="s">
        <v>121</v>
      </c>
      <c r="O78" s="4" t="s">
        <v>120</v>
      </c>
      <c r="S78" s="4" t="s">
        <v>555</v>
      </c>
      <c r="T78" s="4" t="s">
        <v>556</v>
      </c>
      <c r="V78" s="4" t="s">
        <v>557</v>
      </c>
      <c r="Y78" s="6">
        <v>45035</v>
      </c>
      <c r="AA78" s="6">
        <v>44732</v>
      </c>
    </row>
    <row r="79" spans="1:27" s="3" customFormat="1" x14ac:dyDescent="0.35">
      <c r="A79" s="12" t="s">
        <v>2636</v>
      </c>
      <c r="B79" s="4" t="s">
        <v>2456</v>
      </c>
      <c r="C79" s="4" t="s">
        <v>2455</v>
      </c>
      <c r="D79" s="4" t="s">
        <v>569</v>
      </c>
      <c r="E79" s="4" t="s">
        <v>570</v>
      </c>
      <c r="F79" s="4" t="s">
        <v>178</v>
      </c>
      <c r="G79" s="4" t="s">
        <v>571</v>
      </c>
      <c r="H79" s="4" t="s">
        <v>572</v>
      </c>
      <c r="I79" s="4" t="s">
        <v>10</v>
      </c>
      <c r="J79" s="4" t="s">
        <v>180</v>
      </c>
      <c r="K79" s="4" t="s">
        <v>106</v>
      </c>
      <c r="L79" s="4" t="s">
        <v>573</v>
      </c>
      <c r="M79" s="4">
        <f>1.53/1000</f>
        <v>1.5300000000000001E-3</v>
      </c>
      <c r="N79" s="4" t="s">
        <v>341</v>
      </c>
      <c r="O79" s="4"/>
      <c r="P79" s="4"/>
      <c r="Q79" s="4"/>
      <c r="R79" s="4"/>
      <c r="S79" s="4"/>
      <c r="T79" s="4"/>
      <c r="U79" s="4"/>
      <c r="V79" s="10" t="s">
        <v>574</v>
      </c>
      <c r="W79" s="4"/>
      <c r="X79" s="4"/>
      <c r="Y79" s="6">
        <v>44715</v>
      </c>
      <c r="Z79" s="6"/>
      <c r="AA79" s="6">
        <v>45027</v>
      </c>
    </row>
    <row r="80" spans="1:27" x14ac:dyDescent="0.35">
      <c r="A80" s="7" t="s">
        <v>558</v>
      </c>
      <c r="B80" s="4" t="s">
        <v>559</v>
      </c>
      <c r="C80" s="4" t="s">
        <v>560</v>
      </c>
      <c r="E80" s="4" t="s">
        <v>561</v>
      </c>
      <c r="G80" s="4" t="s">
        <v>562</v>
      </c>
      <c r="J80" s="4" t="s">
        <v>180</v>
      </c>
      <c r="K80" s="4" t="s">
        <v>106</v>
      </c>
      <c r="X80" s="4" t="s">
        <v>199</v>
      </c>
      <c r="Y80" s="6">
        <v>44715</v>
      </c>
      <c r="Z80" s="6"/>
      <c r="AA80" s="6"/>
    </row>
    <row r="81" spans="1:27" x14ac:dyDescent="0.35">
      <c r="A81" s="7" t="s">
        <v>563</v>
      </c>
      <c r="B81" s="4" t="s">
        <v>564</v>
      </c>
      <c r="C81" s="4" t="s">
        <v>565</v>
      </c>
      <c r="D81" s="4" t="s">
        <v>566</v>
      </c>
      <c r="E81" s="4" t="s">
        <v>567</v>
      </c>
      <c r="F81" s="4" t="s">
        <v>178</v>
      </c>
      <c r="G81" s="4">
        <v>0.35</v>
      </c>
      <c r="J81" s="4" t="s">
        <v>180</v>
      </c>
      <c r="K81" s="4" t="s">
        <v>106</v>
      </c>
      <c r="L81" s="4" t="s">
        <v>568</v>
      </c>
      <c r="M81" s="4">
        <f>1.4/1000</f>
        <v>1.4E-3</v>
      </c>
      <c r="N81" s="4" t="s">
        <v>341</v>
      </c>
      <c r="Y81" s="6">
        <v>44715</v>
      </c>
      <c r="Z81" s="6"/>
      <c r="AA81" s="6">
        <v>45027</v>
      </c>
    </row>
    <row r="82" spans="1:27" x14ac:dyDescent="0.35">
      <c r="A82" s="7" t="s">
        <v>575</v>
      </c>
      <c r="B82" s="4" t="s">
        <v>576</v>
      </c>
      <c r="C82" s="4" t="s">
        <v>577</v>
      </c>
      <c r="D82" s="4" t="s">
        <v>578</v>
      </c>
      <c r="E82" s="4" t="s">
        <v>579</v>
      </c>
      <c r="G82" s="4">
        <v>3</v>
      </c>
      <c r="J82" s="4" t="s">
        <v>180</v>
      </c>
      <c r="K82" s="4" t="s">
        <v>106</v>
      </c>
      <c r="X82" s="4" t="s">
        <v>181</v>
      </c>
      <c r="Y82" s="6">
        <v>44715</v>
      </c>
      <c r="Z82" s="6"/>
      <c r="AA82" s="6"/>
    </row>
    <row r="83" spans="1:27" x14ac:dyDescent="0.35">
      <c r="A83" s="7" t="s">
        <v>580</v>
      </c>
      <c r="B83" s="4" t="s">
        <v>581</v>
      </c>
      <c r="C83" s="4" t="s">
        <v>582</v>
      </c>
      <c r="E83" s="4" t="s">
        <v>583</v>
      </c>
      <c r="F83" s="4" t="s">
        <v>178</v>
      </c>
      <c r="G83" s="4">
        <v>1</v>
      </c>
      <c r="J83" s="4" t="s">
        <v>180</v>
      </c>
      <c r="K83" s="4" t="s">
        <v>106</v>
      </c>
      <c r="L83" s="4" t="s">
        <v>584</v>
      </c>
      <c r="M83" s="4">
        <f>1.64/1000</f>
        <v>1.64E-3</v>
      </c>
      <c r="N83" s="4" t="s">
        <v>120</v>
      </c>
      <c r="O83" s="4" t="s">
        <v>49</v>
      </c>
      <c r="P83" s="4" t="s">
        <v>121</v>
      </c>
      <c r="T83" s="4" t="s">
        <v>585</v>
      </c>
      <c r="U83" s="4" t="s">
        <v>586</v>
      </c>
      <c r="V83" s="4" t="s">
        <v>587</v>
      </c>
      <c r="Y83" s="6">
        <v>44715</v>
      </c>
      <c r="Z83" s="6">
        <v>45035</v>
      </c>
      <c r="AA83" s="6"/>
    </row>
    <row r="84" spans="1:27" x14ac:dyDescent="0.35">
      <c r="A84" s="7" t="s">
        <v>2545</v>
      </c>
      <c r="B84" s="4" t="s">
        <v>588</v>
      </c>
      <c r="D84" s="4" t="s">
        <v>589</v>
      </c>
      <c r="E84" s="4" t="s">
        <v>590</v>
      </c>
      <c r="F84" s="4" t="s">
        <v>103</v>
      </c>
      <c r="G84" s="4">
        <v>0.8</v>
      </c>
      <c r="K84" s="4" t="s">
        <v>106</v>
      </c>
      <c r="L84" s="4" t="s">
        <v>591</v>
      </c>
      <c r="M84" s="4">
        <f>1.77/1000</f>
        <v>1.7700000000000001E-3</v>
      </c>
      <c r="N84" s="4" t="s">
        <v>120</v>
      </c>
      <c r="T84" s="4" t="s">
        <v>28</v>
      </c>
      <c r="V84" s="4" t="s">
        <v>592</v>
      </c>
      <c r="Y84" s="6">
        <v>44715</v>
      </c>
      <c r="Z84" s="6"/>
      <c r="AA84" s="6">
        <v>44732</v>
      </c>
    </row>
    <row r="85" spans="1:27" x14ac:dyDescent="0.35">
      <c r="A85" s="7" t="s">
        <v>593</v>
      </c>
      <c r="B85" s="4" t="s">
        <v>594</v>
      </c>
      <c r="D85" s="4" t="s">
        <v>595</v>
      </c>
      <c r="E85" s="4" t="s">
        <v>596</v>
      </c>
      <c r="J85" s="4" t="s">
        <v>483</v>
      </c>
      <c r="K85" s="4" t="s">
        <v>200</v>
      </c>
      <c r="N85" s="4" t="s">
        <v>121</v>
      </c>
      <c r="T85" s="4" t="s">
        <v>597</v>
      </c>
      <c r="V85" s="4" t="s">
        <v>598</v>
      </c>
      <c r="X85" s="4" t="s">
        <v>181</v>
      </c>
      <c r="Z85" s="6">
        <v>45035</v>
      </c>
    </row>
    <row r="86" spans="1:27" x14ac:dyDescent="0.35">
      <c r="A86" s="7" t="s">
        <v>599</v>
      </c>
      <c r="B86" s="4" t="s">
        <v>600</v>
      </c>
      <c r="D86" s="4" t="s">
        <v>601</v>
      </c>
      <c r="E86" s="4" t="s">
        <v>602</v>
      </c>
      <c r="J86" s="4" t="s">
        <v>132</v>
      </c>
      <c r="K86" s="4" t="s">
        <v>36</v>
      </c>
      <c r="L86" s="4" t="s">
        <v>36</v>
      </c>
      <c r="N86" s="4" t="s">
        <v>60</v>
      </c>
      <c r="T86" s="4" t="s">
        <v>603</v>
      </c>
      <c r="V86" s="13"/>
      <c r="W86" s="10"/>
      <c r="X86" s="4" t="s">
        <v>199</v>
      </c>
    </row>
    <row r="87" spans="1:27" x14ac:dyDescent="0.35">
      <c r="A87" s="7" t="s">
        <v>604</v>
      </c>
      <c r="B87" s="4" t="s">
        <v>605</v>
      </c>
      <c r="D87" s="4" t="s">
        <v>606</v>
      </c>
      <c r="E87" s="4" t="s">
        <v>602</v>
      </c>
      <c r="J87" s="4" t="s">
        <v>132</v>
      </c>
      <c r="K87" s="4" t="s">
        <v>36</v>
      </c>
      <c r="L87" s="4" t="s">
        <v>36</v>
      </c>
      <c r="N87" s="4" t="s">
        <v>60</v>
      </c>
      <c r="T87" s="4" t="s">
        <v>603</v>
      </c>
      <c r="V87" s="4" t="s">
        <v>607</v>
      </c>
      <c r="X87" s="4" t="s">
        <v>199</v>
      </c>
    </row>
    <row r="88" spans="1:27" x14ac:dyDescent="0.35">
      <c r="A88" s="7" t="s">
        <v>2546</v>
      </c>
      <c r="B88" s="4" t="s">
        <v>608</v>
      </c>
      <c r="D88" s="4" t="s">
        <v>606</v>
      </c>
      <c r="E88" s="4" t="s">
        <v>609</v>
      </c>
      <c r="F88" s="4" t="s">
        <v>87</v>
      </c>
      <c r="G88" s="4">
        <v>4</v>
      </c>
      <c r="H88" s="4" t="s">
        <v>610</v>
      </c>
      <c r="J88" s="4" t="s">
        <v>132</v>
      </c>
      <c r="K88" s="4" t="s">
        <v>36</v>
      </c>
      <c r="L88" s="4" t="s">
        <v>36</v>
      </c>
      <c r="M88" s="4">
        <f>1.91/1000</f>
        <v>1.91E-3</v>
      </c>
      <c r="N88" s="4" t="s">
        <v>60</v>
      </c>
      <c r="W88" s="4" t="s">
        <v>541</v>
      </c>
      <c r="X88" s="4" t="s">
        <v>199</v>
      </c>
      <c r="Y88" s="6">
        <v>44715</v>
      </c>
      <c r="Z88" s="6"/>
      <c r="AA88" s="6">
        <v>45093</v>
      </c>
    </row>
    <row r="89" spans="1:27" x14ac:dyDescent="0.35">
      <c r="A89" s="7" t="s">
        <v>611</v>
      </c>
      <c r="B89" s="4" t="s">
        <v>612</v>
      </c>
      <c r="D89" s="4" t="s">
        <v>613</v>
      </c>
      <c r="E89" s="4" t="s">
        <v>614</v>
      </c>
      <c r="F89" s="4" t="s">
        <v>87</v>
      </c>
      <c r="G89" s="4">
        <v>2.5</v>
      </c>
      <c r="H89" s="4" t="s">
        <v>615</v>
      </c>
      <c r="J89" s="4" t="s">
        <v>132</v>
      </c>
      <c r="K89" s="4" t="s">
        <v>36</v>
      </c>
      <c r="L89" s="4" t="s">
        <v>36</v>
      </c>
      <c r="M89" s="4">
        <f>3.24/1000</f>
        <v>3.2400000000000003E-3</v>
      </c>
      <c r="N89" s="4" t="s">
        <v>60</v>
      </c>
      <c r="T89" s="4" t="s">
        <v>603</v>
      </c>
      <c r="V89" s="10" t="s">
        <v>616</v>
      </c>
      <c r="W89" s="4" t="s">
        <v>617</v>
      </c>
      <c r="Y89" s="6">
        <v>44715</v>
      </c>
      <c r="Z89" s="6"/>
      <c r="AA89" s="6">
        <v>45093</v>
      </c>
    </row>
    <row r="90" spans="1:27" s="3" customFormat="1" x14ac:dyDescent="0.35">
      <c r="A90" s="7" t="s">
        <v>2547</v>
      </c>
      <c r="B90" s="4" t="s">
        <v>2462</v>
      </c>
      <c r="C90" s="4" t="s">
        <v>2461</v>
      </c>
      <c r="D90" s="4" t="s">
        <v>777</v>
      </c>
      <c r="E90" s="4" t="s">
        <v>778</v>
      </c>
      <c r="F90" s="4" t="s">
        <v>116</v>
      </c>
      <c r="G90" s="4">
        <v>5</v>
      </c>
      <c r="H90" s="4" t="s">
        <v>779</v>
      </c>
      <c r="I90" s="4" t="s">
        <v>10</v>
      </c>
      <c r="J90" s="4" t="s">
        <v>447</v>
      </c>
      <c r="K90" s="4" t="s">
        <v>106</v>
      </c>
      <c r="L90" s="4" t="s">
        <v>780</v>
      </c>
      <c r="M90" s="4">
        <f>23.6/1000</f>
        <v>2.3600000000000003E-2</v>
      </c>
      <c r="N90" s="4" t="s">
        <v>108</v>
      </c>
      <c r="O90" s="4" t="s">
        <v>49</v>
      </c>
      <c r="P90" s="4" t="s">
        <v>38</v>
      </c>
      <c r="Q90" s="4"/>
      <c r="R90" s="4"/>
      <c r="S90" s="4"/>
      <c r="T90" s="4" t="s">
        <v>781</v>
      </c>
      <c r="U90" s="4" t="s">
        <v>782</v>
      </c>
      <c r="V90" s="4" t="s">
        <v>783</v>
      </c>
      <c r="W90" s="4"/>
      <c r="X90" s="4"/>
      <c r="Y90" s="6">
        <v>44727</v>
      </c>
      <c r="Z90" s="6">
        <v>45037</v>
      </c>
      <c r="AA90" s="6">
        <v>45037</v>
      </c>
    </row>
    <row r="91" spans="1:27" x14ac:dyDescent="0.35">
      <c r="A91" s="7" t="s">
        <v>618</v>
      </c>
      <c r="B91" s="4" t="s">
        <v>619</v>
      </c>
      <c r="C91" s="4" t="s">
        <v>620</v>
      </c>
      <c r="D91" s="4" t="s">
        <v>621</v>
      </c>
      <c r="E91" s="4" t="s">
        <v>622</v>
      </c>
      <c r="K91" s="4" t="s">
        <v>106</v>
      </c>
      <c r="M91" s="4">
        <f>2.1619/1000</f>
        <v>2.1619E-3</v>
      </c>
      <c r="T91" s="4" t="s">
        <v>623</v>
      </c>
      <c r="U91" s="4" t="s">
        <v>624</v>
      </c>
      <c r="X91" s="4" t="s">
        <v>181</v>
      </c>
      <c r="Y91" s="6">
        <v>44727</v>
      </c>
      <c r="Z91" s="6"/>
    </row>
    <row r="92" spans="1:27" x14ac:dyDescent="0.35">
      <c r="A92" s="7" t="s">
        <v>625</v>
      </c>
      <c r="B92" s="4" t="s">
        <v>626</v>
      </c>
      <c r="C92" s="4" t="s">
        <v>627</v>
      </c>
      <c r="D92" s="4" t="s">
        <v>628</v>
      </c>
      <c r="E92" s="4" t="s">
        <v>629</v>
      </c>
      <c r="F92" s="4" t="s">
        <v>87</v>
      </c>
      <c r="G92" s="4">
        <v>2.5</v>
      </c>
      <c r="H92" s="4" t="s">
        <v>630</v>
      </c>
      <c r="J92" s="4" t="s">
        <v>132</v>
      </c>
      <c r="K92" s="4" t="s">
        <v>36</v>
      </c>
      <c r="L92" s="4" t="s">
        <v>36</v>
      </c>
      <c r="N92" s="5" t="s">
        <v>60</v>
      </c>
      <c r="T92" s="5"/>
      <c r="V92" s="8" t="s">
        <v>631</v>
      </c>
      <c r="W92" s="4" t="s">
        <v>541</v>
      </c>
      <c r="Y92" s="6">
        <v>44727</v>
      </c>
      <c r="Z92" s="6"/>
    </row>
    <row r="93" spans="1:27" x14ac:dyDescent="0.35">
      <c r="A93" s="7" t="s">
        <v>632</v>
      </c>
      <c r="B93" s="4" t="s">
        <v>633</v>
      </c>
      <c r="D93" s="4" t="s">
        <v>634</v>
      </c>
      <c r="F93" s="4" t="s">
        <v>103</v>
      </c>
      <c r="G93" s="4">
        <v>1</v>
      </c>
      <c r="H93" s="4" t="s">
        <v>635</v>
      </c>
      <c r="J93" s="4" t="s">
        <v>158</v>
      </c>
      <c r="K93" s="4" t="s">
        <v>106</v>
      </c>
      <c r="L93" s="4" t="s">
        <v>636</v>
      </c>
      <c r="M93" s="4">
        <f>1.34/1000</f>
        <v>1.34E-3</v>
      </c>
      <c r="N93" s="4" t="s">
        <v>120</v>
      </c>
      <c r="O93" s="4" t="s">
        <v>49</v>
      </c>
      <c r="P93" s="4" t="s">
        <v>60</v>
      </c>
      <c r="Q93" s="4" t="s">
        <v>38</v>
      </c>
      <c r="T93" s="4" t="s">
        <v>637</v>
      </c>
      <c r="V93" s="4" t="s">
        <v>638</v>
      </c>
      <c r="Y93" s="6">
        <v>44715</v>
      </c>
      <c r="Z93" s="6"/>
      <c r="AA93" s="6">
        <v>45035</v>
      </c>
    </row>
    <row r="94" spans="1:27" x14ac:dyDescent="0.35">
      <c r="A94" s="7" t="s">
        <v>639</v>
      </c>
      <c r="B94" s="4" t="s">
        <v>640</v>
      </c>
      <c r="D94" s="4" t="s">
        <v>641</v>
      </c>
      <c r="F94" s="4" t="s">
        <v>103</v>
      </c>
      <c r="G94" s="4">
        <v>1.5</v>
      </c>
      <c r="H94" s="4" t="s">
        <v>642</v>
      </c>
      <c r="I94" s="4" t="s">
        <v>10</v>
      </c>
      <c r="J94" s="4" t="s">
        <v>158</v>
      </c>
      <c r="K94" s="4" t="s">
        <v>106</v>
      </c>
      <c r="L94" s="4" t="s">
        <v>636</v>
      </c>
      <c r="M94" s="4">
        <f>2.91/1000</f>
        <v>2.9100000000000003E-3</v>
      </c>
      <c r="N94" s="4" t="s">
        <v>120</v>
      </c>
      <c r="O94" s="4" t="s">
        <v>121</v>
      </c>
      <c r="P94" s="4" t="s">
        <v>38</v>
      </c>
      <c r="T94" s="4" t="s">
        <v>643</v>
      </c>
      <c r="U94" s="4" t="s">
        <v>644</v>
      </c>
      <c r="V94" s="4" t="s">
        <v>645</v>
      </c>
      <c r="Y94" s="6">
        <v>44715</v>
      </c>
      <c r="Z94" s="6"/>
      <c r="AA94" s="6">
        <v>45035</v>
      </c>
    </row>
    <row r="95" spans="1:27" x14ac:dyDescent="0.35">
      <c r="A95" s="7" t="s">
        <v>646</v>
      </c>
      <c r="B95" s="4" t="s">
        <v>647</v>
      </c>
      <c r="D95" s="4" t="s">
        <v>648</v>
      </c>
      <c r="E95" s="4" t="s">
        <v>649</v>
      </c>
      <c r="F95" s="4" t="s">
        <v>130</v>
      </c>
      <c r="J95" s="4" t="s">
        <v>158</v>
      </c>
      <c r="K95" s="4" t="s">
        <v>106</v>
      </c>
      <c r="L95" s="4" t="s">
        <v>650</v>
      </c>
      <c r="M95" s="4">
        <f>8.12/1000</f>
        <v>8.1199999999999987E-3</v>
      </c>
      <c r="N95" s="4" t="s">
        <v>120</v>
      </c>
      <c r="O95" s="4" t="s">
        <v>49</v>
      </c>
      <c r="T95" s="4" t="s">
        <v>140</v>
      </c>
      <c r="U95" s="4" t="s">
        <v>651</v>
      </c>
      <c r="Y95" s="6">
        <v>44715</v>
      </c>
      <c r="Z95" s="6"/>
      <c r="AA95" s="6">
        <v>45027</v>
      </c>
    </row>
    <row r="96" spans="1:27" x14ac:dyDescent="0.35">
      <c r="A96" s="7" t="s">
        <v>652</v>
      </c>
      <c r="B96" s="4" t="s">
        <v>653</v>
      </c>
      <c r="C96" s="4" t="s">
        <v>654</v>
      </c>
      <c r="E96" s="4" t="s">
        <v>655</v>
      </c>
      <c r="F96" s="4" t="s">
        <v>130</v>
      </c>
      <c r="H96" s="4" t="s">
        <v>656</v>
      </c>
      <c r="J96" s="4" t="s">
        <v>158</v>
      </c>
      <c r="K96" s="4" t="s">
        <v>106</v>
      </c>
      <c r="L96" s="4" t="s">
        <v>650</v>
      </c>
      <c r="M96" s="4">
        <f>5.24/1000</f>
        <v>5.2399999999999999E-3</v>
      </c>
      <c r="N96" s="4" t="s">
        <v>120</v>
      </c>
      <c r="O96" s="4" t="s">
        <v>49</v>
      </c>
      <c r="T96" s="4" t="s">
        <v>140</v>
      </c>
      <c r="U96" s="4" t="s">
        <v>657</v>
      </c>
      <c r="Y96" s="6">
        <v>44715</v>
      </c>
      <c r="Z96" s="6">
        <v>45035</v>
      </c>
      <c r="AA96" s="6">
        <v>45027</v>
      </c>
    </row>
    <row r="97" spans="1:27" x14ac:dyDescent="0.35">
      <c r="A97" s="7" t="s">
        <v>658</v>
      </c>
      <c r="B97" s="4" t="s">
        <v>659</v>
      </c>
      <c r="D97" s="4" t="s">
        <v>660</v>
      </c>
      <c r="E97" s="4" t="s">
        <v>655</v>
      </c>
      <c r="F97" s="4" t="s">
        <v>130</v>
      </c>
      <c r="H97" s="4" t="s">
        <v>661</v>
      </c>
      <c r="I97" s="4" t="s">
        <v>10</v>
      </c>
      <c r="J97" s="4" t="s">
        <v>158</v>
      </c>
      <c r="K97" s="4" t="s">
        <v>106</v>
      </c>
      <c r="L97" s="4" t="s">
        <v>650</v>
      </c>
      <c r="M97" s="4">
        <f>2.22/1000</f>
        <v>2.2200000000000002E-3</v>
      </c>
      <c r="N97" s="4" t="s">
        <v>120</v>
      </c>
      <c r="O97" s="4" t="s">
        <v>49</v>
      </c>
      <c r="T97" s="4" t="s">
        <v>662</v>
      </c>
      <c r="U97" s="4" t="s">
        <v>663</v>
      </c>
      <c r="Y97" s="6">
        <v>44715</v>
      </c>
      <c r="Z97" s="6">
        <v>45035</v>
      </c>
      <c r="AA97" s="6">
        <v>45027</v>
      </c>
    </row>
    <row r="98" spans="1:27" x14ac:dyDescent="0.35">
      <c r="A98" s="7" t="s">
        <v>664</v>
      </c>
      <c r="B98" s="4" t="s">
        <v>665</v>
      </c>
      <c r="D98" s="4" t="s">
        <v>666</v>
      </c>
      <c r="E98" s="4" t="s">
        <v>667</v>
      </c>
      <c r="F98" s="4" t="s">
        <v>130</v>
      </c>
      <c r="H98" s="4" t="s">
        <v>668</v>
      </c>
      <c r="I98" s="4" t="s">
        <v>10</v>
      </c>
      <c r="J98" s="4" t="s">
        <v>105</v>
      </c>
      <c r="K98" s="4" t="s">
        <v>106</v>
      </c>
      <c r="L98" s="4" t="s">
        <v>119</v>
      </c>
      <c r="M98" s="4">
        <f>72.3/1000</f>
        <v>7.2300000000000003E-2</v>
      </c>
      <c r="N98" s="4" t="s">
        <v>120</v>
      </c>
      <c r="T98" s="4" t="s">
        <v>140</v>
      </c>
      <c r="Y98" s="6">
        <v>44715</v>
      </c>
      <c r="Z98" s="6">
        <v>45035</v>
      </c>
      <c r="AA98" s="6">
        <v>45027</v>
      </c>
    </row>
    <row r="99" spans="1:27" x14ac:dyDescent="0.35">
      <c r="A99" s="7" t="s">
        <v>669</v>
      </c>
      <c r="B99" s="4" t="s">
        <v>670</v>
      </c>
      <c r="C99" s="4" t="s">
        <v>671</v>
      </c>
      <c r="D99" s="4" t="s">
        <v>672</v>
      </c>
      <c r="E99" s="4" t="s">
        <v>673</v>
      </c>
      <c r="F99" s="4" t="s">
        <v>116</v>
      </c>
      <c r="G99" s="4">
        <v>6</v>
      </c>
      <c r="H99" s="4" t="s">
        <v>674</v>
      </c>
      <c r="J99" s="4" t="s">
        <v>675</v>
      </c>
      <c r="K99" s="4" t="s">
        <v>36</v>
      </c>
      <c r="L99" s="4" t="s">
        <v>36</v>
      </c>
      <c r="M99" s="4">
        <f>36.9/1000</f>
        <v>3.6899999999999995E-2</v>
      </c>
      <c r="N99" s="4" t="s">
        <v>60</v>
      </c>
      <c r="T99" s="4" t="s">
        <v>676</v>
      </c>
      <c r="U99" s="4" t="s">
        <v>677</v>
      </c>
      <c r="Y99" s="6">
        <v>44715</v>
      </c>
      <c r="Z99" s="6"/>
      <c r="AA99" s="6">
        <v>45093</v>
      </c>
    </row>
    <row r="100" spans="1:27" x14ac:dyDescent="0.35">
      <c r="A100" s="7" t="s">
        <v>2548</v>
      </c>
      <c r="B100" s="4" t="s">
        <v>678</v>
      </c>
      <c r="D100" s="4" t="s">
        <v>679</v>
      </c>
      <c r="E100" s="4" t="s">
        <v>680</v>
      </c>
      <c r="F100" s="4" t="s">
        <v>178</v>
      </c>
      <c r="G100" s="4">
        <v>4.5</v>
      </c>
      <c r="H100" s="4" t="s">
        <v>681</v>
      </c>
      <c r="I100" s="4" t="s">
        <v>10</v>
      </c>
      <c r="J100" s="4" t="s">
        <v>180</v>
      </c>
      <c r="K100" s="4" t="s">
        <v>106</v>
      </c>
      <c r="L100" s="4" t="s">
        <v>682</v>
      </c>
      <c r="N100" s="4" t="s">
        <v>120</v>
      </c>
      <c r="T100" s="4" t="s">
        <v>683</v>
      </c>
      <c r="U100" s="4" t="s">
        <v>684</v>
      </c>
      <c r="Y100" s="6">
        <v>44715</v>
      </c>
      <c r="Z100" s="6">
        <v>45035</v>
      </c>
    </row>
    <row r="101" spans="1:27" x14ac:dyDescent="0.35">
      <c r="A101" s="7" t="s">
        <v>2549</v>
      </c>
      <c r="B101" s="4" t="s">
        <v>685</v>
      </c>
      <c r="D101" s="4" t="s">
        <v>686</v>
      </c>
      <c r="E101" s="4" t="s">
        <v>687</v>
      </c>
      <c r="F101" s="4" t="s">
        <v>178</v>
      </c>
      <c r="G101" s="4">
        <v>6</v>
      </c>
      <c r="H101" s="4" t="s">
        <v>688</v>
      </c>
      <c r="I101" s="4" t="s">
        <v>10</v>
      </c>
      <c r="J101" s="4" t="s">
        <v>180</v>
      </c>
      <c r="K101" s="4" t="s">
        <v>106</v>
      </c>
      <c r="L101" s="4" t="s">
        <v>682</v>
      </c>
      <c r="N101" s="4" t="s">
        <v>120</v>
      </c>
      <c r="T101" s="4" t="s">
        <v>689</v>
      </c>
      <c r="U101" s="4" t="s">
        <v>684</v>
      </c>
      <c r="Y101" s="6">
        <v>44715</v>
      </c>
      <c r="Z101" s="6">
        <v>45035</v>
      </c>
    </row>
    <row r="102" spans="1:27" x14ac:dyDescent="0.35">
      <c r="A102" s="7" t="s">
        <v>690</v>
      </c>
      <c r="B102" s="4" t="s">
        <v>691</v>
      </c>
      <c r="C102" s="4" t="s">
        <v>692</v>
      </c>
      <c r="D102" s="4" t="s">
        <v>693</v>
      </c>
      <c r="E102" s="4" t="s">
        <v>694</v>
      </c>
      <c r="F102" s="4" t="s">
        <v>33</v>
      </c>
      <c r="G102" s="4">
        <v>5</v>
      </c>
      <c r="H102" s="4" t="s">
        <v>695</v>
      </c>
      <c r="J102" s="4" t="s">
        <v>696</v>
      </c>
      <c r="K102" s="4" t="s">
        <v>36</v>
      </c>
      <c r="L102" s="4" t="s">
        <v>36</v>
      </c>
      <c r="M102" s="4">
        <f>7.77/1000</f>
        <v>7.77E-3</v>
      </c>
      <c r="N102" s="4" t="s">
        <v>60</v>
      </c>
      <c r="T102" s="4" t="s">
        <v>27</v>
      </c>
      <c r="U102" s="4" t="s">
        <v>697</v>
      </c>
      <c r="Y102" s="6">
        <v>45093</v>
      </c>
      <c r="Z102" s="6">
        <v>45093</v>
      </c>
      <c r="AA102" s="6">
        <v>45093</v>
      </c>
    </row>
    <row r="103" spans="1:27" x14ac:dyDescent="0.35">
      <c r="A103" s="7" t="s">
        <v>2550</v>
      </c>
      <c r="B103" s="4" t="s">
        <v>698</v>
      </c>
      <c r="D103" s="4" t="s">
        <v>699</v>
      </c>
      <c r="E103" s="4" t="s">
        <v>700</v>
      </c>
      <c r="F103" s="4" t="s">
        <v>87</v>
      </c>
      <c r="G103" s="4">
        <v>2</v>
      </c>
      <c r="H103" s="4" t="s">
        <v>701</v>
      </c>
      <c r="I103" s="4" t="s">
        <v>10</v>
      </c>
      <c r="J103" s="4" t="s">
        <v>696</v>
      </c>
      <c r="K103" s="4" t="s">
        <v>36</v>
      </c>
      <c r="L103" s="4" t="s">
        <v>36</v>
      </c>
      <c r="M103" s="4">
        <f>8.88/1000</f>
        <v>8.8800000000000007E-3</v>
      </c>
      <c r="N103" s="4" t="s">
        <v>60</v>
      </c>
      <c r="T103" s="4" t="s">
        <v>702</v>
      </c>
      <c r="Y103" s="6">
        <v>44715</v>
      </c>
      <c r="Z103" s="6">
        <v>45093</v>
      </c>
      <c r="AA103" s="6">
        <v>45093</v>
      </c>
    </row>
    <row r="104" spans="1:27" x14ac:dyDescent="0.35">
      <c r="A104" s="7" t="s">
        <v>703</v>
      </c>
      <c r="B104" s="4" t="s">
        <v>704</v>
      </c>
      <c r="D104" s="4" t="s">
        <v>699</v>
      </c>
      <c r="E104" s="4" t="s">
        <v>705</v>
      </c>
      <c r="F104" s="4" t="s">
        <v>87</v>
      </c>
      <c r="G104" s="4">
        <v>4</v>
      </c>
      <c r="H104" s="4" t="s">
        <v>706</v>
      </c>
      <c r="I104" s="4" t="s">
        <v>10</v>
      </c>
      <c r="J104" s="4" t="s">
        <v>696</v>
      </c>
      <c r="K104" s="4" t="s">
        <v>36</v>
      </c>
      <c r="L104" s="4" t="s">
        <v>36</v>
      </c>
      <c r="M104" s="4">
        <f>7.18/1000</f>
        <v>7.1799999999999998E-3</v>
      </c>
      <c r="N104" s="4" t="s">
        <v>60</v>
      </c>
      <c r="T104" s="4" t="s">
        <v>707</v>
      </c>
      <c r="U104" s="4" t="s">
        <v>708</v>
      </c>
      <c r="Y104" s="6">
        <v>44715</v>
      </c>
      <c r="Z104" s="6">
        <v>45093</v>
      </c>
      <c r="AA104" s="6">
        <v>45093</v>
      </c>
    </row>
    <row r="105" spans="1:27" x14ac:dyDescent="0.35">
      <c r="A105" s="7" t="s">
        <v>2551</v>
      </c>
      <c r="B105" s="4" t="s">
        <v>709</v>
      </c>
      <c r="D105" s="4" t="s">
        <v>710</v>
      </c>
      <c r="E105" s="4" t="s">
        <v>711</v>
      </c>
      <c r="F105" s="4" t="s">
        <v>87</v>
      </c>
      <c r="G105" s="4">
        <v>3.5</v>
      </c>
      <c r="H105" s="4" t="s">
        <v>712</v>
      </c>
      <c r="I105" s="4" t="s">
        <v>10</v>
      </c>
      <c r="J105" s="4" t="s">
        <v>696</v>
      </c>
      <c r="K105" s="4" t="s">
        <v>36</v>
      </c>
      <c r="L105" s="4" t="s">
        <v>36</v>
      </c>
      <c r="M105" s="4">
        <f>13.18/1000</f>
        <v>1.3179999999999999E-2</v>
      </c>
      <c r="N105" s="4" t="s">
        <v>60</v>
      </c>
      <c r="T105" s="4" t="s">
        <v>713</v>
      </c>
      <c r="U105" s="4" t="s">
        <v>714</v>
      </c>
      <c r="W105" s="4" t="s">
        <v>715</v>
      </c>
      <c r="Y105" s="6">
        <v>44715</v>
      </c>
      <c r="Z105" s="6">
        <v>45093</v>
      </c>
      <c r="AA105" s="6">
        <v>45093</v>
      </c>
    </row>
    <row r="106" spans="1:27" x14ac:dyDescent="0.35">
      <c r="A106" s="7" t="s">
        <v>716</v>
      </c>
      <c r="B106" s="4" t="s">
        <v>717</v>
      </c>
      <c r="D106" s="4" t="s">
        <v>718</v>
      </c>
      <c r="E106" s="4" t="s">
        <v>719</v>
      </c>
      <c r="F106" s="4" t="s">
        <v>87</v>
      </c>
      <c r="G106" s="4">
        <v>0.5</v>
      </c>
      <c r="H106" s="4" t="s">
        <v>720</v>
      </c>
      <c r="J106" s="4" t="s">
        <v>272</v>
      </c>
      <c r="K106" s="4" t="s">
        <v>106</v>
      </c>
      <c r="L106" s="4" t="s">
        <v>721</v>
      </c>
      <c r="M106" s="4">
        <f>0.02/1000</f>
        <v>2.0000000000000002E-5</v>
      </c>
      <c r="N106" s="4" t="s">
        <v>2415</v>
      </c>
      <c r="T106" s="4" t="s">
        <v>28</v>
      </c>
      <c r="V106" s="4" t="s">
        <v>722</v>
      </c>
      <c r="Y106" s="6">
        <v>44715</v>
      </c>
      <c r="Z106" s="6">
        <v>45035</v>
      </c>
      <c r="AA106" s="6">
        <v>44732</v>
      </c>
    </row>
    <row r="107" spans="1:27" x14ac:dyDescent="0.35">
      <c r="A107" s="7" t="s">
        <v>723</v>
      </c>
      <c r="B107" s="4" t="s">
        <v>724</v>
      </c>
      <c r="D107" s="4" t="s">
        <v>725</v>
      </c>
      <c r="E107" s="4" t="s">
        <v>726</v>
      </c>
      <c r="F107" s="4" t="s">
        <v>103</v>
      </c>
      <c r="K107" s="4" t="s">
        <v>106</v>
      </c>
      <c r="X107" s="4" t="s">
        <v>181</v>
      </c>
      <c r="Y107" s="6">
        <v>44715</v>
      </c>
      <c r="Z107" s="6"/>
    </row>
    <row r="108" spans="1:27" x14ac:dyDescent="0.35">
      <c r="A108" s="7" t="s">
        <v>727</v>
      </c>
      <c r="B108" s="4" t="s">
        <v>728</v>
      </c>
      <c r="C108" s="4" t="s">
        <v>729</v>
      </c>
      <c r="D108" s="4" t="s">
        <v>730</v>
      </c>
      <c r="E108" s="4" t="s">
        <v>731</v>
      </c>
      <c r="F108" s="4" t="s">
        <v>33</v>
      </c>
      <c r="G108" s="4">
        <v>10</v>
      </c>
      <c r="H108" s="4" t="s">
        <v>732</v>
      </c>
      <c r="I108" s="4" t="s">
        <v>10</v>
      </c>
      <c r="J108" s="4" t="s">
        <v>696</v>
      </c>
      <c r="K108" s="4" t="s">
        <v>36</v>
      </c>
      <c r="L108" s="4" t="s">
        <v>36</v>
      </c>
      <c r="M108" s="4">
        <f>96.87/1000</f>
        <v>9.6869999999999998E-2</v>
      </c>
      <c r="N108" s="4" t="s">
        <v>60</v>
      </c>
      <c r="O108" s="4" t="s">
        <v>121</v>
      </c>
      <c r="T108" s="4" t="s">
        <v>733</v>
      </c>
      <c r="U108" s="4" t="s">
        <v>734</v>
      </c>
      <c r="V108" s="4" t="s">
        <v>735</v>
      </c>
      <c r="Y108" s="6">
        <v>44715</v>
      </c>
      <c r="Z108" s="6">
        <v>45093</v>
      </c>
      <c r="AA108" s="6">
        <v>45093</v>
      </c>
    </row>
    <row r="109" spans="1:27" x14ac:dyDescent="0.35">
      <c r="A109" s="7" t="s">
        <v>2632</v>
      </c>
      <c r="B109" s="4" t="s">
        <v>2637</v>
      </c>
      <c r="D109" s="4" t="s">
        <v>736</v>
      </c>
      <c r="E109" s="4" t="s">
        <v>737</v>
      </c>
      <c r="G109" s="4">
        <v>0.9</v>
      </c>
      <c r="J109" s="4" t="s">
        <v>105</v>
      </c>
      <c r="K109" s="4" t="s">
        <v>106</v>
      </c>
      <c r="N109" s="4" t="s">
        <v>341</v>
      </c>
      <c r="T109" s="4" t="s">
        <v>738</v>
      </c>
      <c r="X109" s="4" t="s">
        <v>181</v>
      </c>
      <c r="Y109" s="6">
        <v>44715</v>
      </c>
      <c r="Z109" s="6">
        <v>45027</v>
      </c>
    </row>
    <row r="110" spans="1:27" x14ac:dyDescent="0.35">
      <c r="A110" s="7" t="s">
        <v>739</v>
      </c>
      <c r="B110" s="4" t="s">
        <v>740</v>
      </c>
      <c r="D110" s="4" t="s">
        <v>741</v>
      </c>
      <c r="F110" s="4" t="s">
        <v>116</v>
      </c>
      <c r="H110" s="4" t="s">
        <v>742</v>
      </c>
      <c r="J110" s="4" t="s">
        <v>360</v>
      </c>
      <c r="K110" s="4" t="s">
        <v>106</v>
      </c>
      <c r="L110" s="4" t="s">
        <v>119</v>
      </c>
      <c r="M110" s="4">
        <f>11.73/1000</f>
        <v>1.1730000000000001E-2</v>
      </c>
      <c r="N110" s="4" t="s">
        <v>120</v>
      </c>
      <c r="T110" s="4" t="s">
        <v>743</v>
      </c>
      <c r="U110" s="4" t="s">
        <v>744</v>
      </c>
      <c r="Y110" s="6">
        <v>44715</v>
      </c>
      <c r="Z110" s="6">
        <v>45035</v>
      </c>
      <c r="AA110" s="6">
        <v>44732</v>
      </c>
    </row>
    <row r="111" spans="1:27" x14ac:dyDescent="0.35">
      <c r="A111" s="7" t="s">
        <v>745</v>
      </c>
      <c r="B111" s="4" t="s">
        <v>746</v>
      </c>
      <c r="D111" s="5" t="s">
        <v>747</v>
      </c>
      <c r="E111" s="4" t="s">
        <v>748</v>
      </c>
      <c r="F111" s="4" t="s">
        <v>103</v>
      </c>
      <c r="H111" s="4" t="s">
        <v>749</v>
      </c>
      <c r="J111" s="4" t="s">
        <v>105</v>
      </c>
      <c r="K111" s="4" t="s">
        <v>106</v>
      </c>
      <c r="M111" s="4">
        <f>0.84/1000</f>
        <v>8.3999999999999993E-4</v>
      </c>
      <c r="N111" s="4" t="s">
        <v>60</v>
      </c>
      <c r="O111" s="4" t="s">
        <v>49</v>
      </c>
      <c r="P111" s="4" t="s">
        <v>121</v>
      </c>
      <c r="T111" s="4" t="s">
        <v>2484</v>
      </c>
      <c r="U111" s="4" t="s">
        <v>750</v>
      </c>
      <c r="V111" s="4" t="s">
        <v>2485</v>
      </c>
      <c r="Y111" s="6">
        <v>45030</v>
      </c>
      <c r="Z111" s="6"/>
      <c r="AA111" s="6">
        <v>45030</v>
      </c>
    </row>
    <row r="112" spans="1:27" x14ac:dyDescent="0.35">
      <c r="A112" s="7" t="s">
        <v>751</v>
      </c>
      <c r="B112" s="4" t="s">
        <v>752</v>
      </c>
      <c r="D112" s="4" t="s">
        <v>753</v>
      </c>
      <c r="E112" s="4" t="s">
        <v>754</v>
      </c>
      <c r="F112" s="4" t="s">
        <v>178</v>
      </c>
      <c r="G112" s="4">
        <v>0.5</v>
      </c>
      <c r="H112" s="4" t="s">
        <v>755</v>
      </c>
      <c r="J112" s="4" t="s">
        <v>180</v>
      </c>
      <c r="K112" s="4" t="s">
        <v>106</v>
      </c>
      <c r="L112" s="4" t="s">
        <v>181</v>
      </c>
      <c r="M112" s="4">
        <f>0.3/1000</f>
        <v>2.9999999999999997E-4</v>
      </c>
      <c r="N112" s="4" t="s">
        <v>60</v>
      </c>
      <c r="O112" s="4" t="s">
        <v>2415</v>
      </c>
      <c r="P112" s="4" t="s">
        <v>2433</v>
      </c>
      <c r="T112" s="4" t="s">
        <v>756</v>
      </c>
      <c r="U112" s="4" t="s">
        <v>757</v>
      </c>
      <c r="V112" s="14" t="s">
        <v>2434</v>
      </c>
      <c r="W112" s="4" t="s">
        <v>2433</v>
      </c>
      <c r="Y112" s="6">
        <v>44715</v>
      </c>
      <c r="Z112" s="6"/>
      <c r="AA112" s="6">
        <v>44732</v>
      </c>
    </row>
    <row r="113" spans="1:27" x14ac:dyDescent="0.35">
      <c r="A113" s="7" t="s">
        <v>758</v>
      </c>
      <c r="B113" s="4" t="s">
        <v>759</v>
      </c>
      <c r="D113" s="4" t="s">
        <v>760</v>
      </c>
      <c r="E113" s="4" t="s">
        <v>761</v>
      </c>
      <c r="F113" s="4" t="s">
        <v>762</v>
      </c>
      <c r="G113" s="4">
        <v>0.9</v>
      </c>
      <c r="H113" s="4" t="s">
        <v>763</v>
      </c>
      <c r="I113" s="4" t="s">
        <v>10</v>
      </c>
      <c r="J113" s="4" t="s">
        <v>483</v>
      </c>
      <c r="K113" s="4" t="s">
        <v>106</v>
      </c>
      <c r="L113" s="4" t="s">
        <v>181</v>
      </c>
      <c r="M113" s="4">
        <f>0.12/1000</f>
        <v>1.1999999999999999E-4</v>
      </c>
      <c r="N113" s="4" t="s">
        <v>60</v>
      </c>
      <c r="T113" s="4" t="s">
        <v>764</v>
      </c>
      <c r="U113" s="4" t="s">
        <v>765</v>
      </c>
      <c r="V113" s="14" t="s">
        <v>766</v>
      </c>
      <c r="W113" s="4" t="s">
        <v>767</v>
      </c>
      <c r="Y113" s="6">
        <v>44715</v>
      </c>
      <c r="Z113" s="6"/>
    </row>
    <row r="114" spans="1:27" x14ac:dyDescent="0.35">
      <c r="A114" s="7" t="s">
        <v>768</v>
      </c>
      <c r="B114" s="4" t="s">
        <v>769</v>
      </c>
      <c r="D114" s="4" t="s">
        <v>770</v>
      </c>
      <c r="E114" s="4" t="s">
        <v>771</v>
      </c>
      <c r="G114" s="4">
        <f>0.24/1000</f>
        <v>2.3999999999999998E-4</v>
      </c>
      <c r="J114" s="4" t="s">
        <v>483</v>
      </c>
      <c r="K114" s="4" t="s">
        <v>106</v>
      </c>
      <c r="N114" s="4" t="s">
        <v>49</v>
      </c>
      <c r="V114" s="4" t="s">
        <v>2418</v>
      </c>
      <c r="X114" s="4" t="s">
        <v>199</v>
      </c>
      <c r="Y114" s="6">
        <v>44715</v>
      </c>
      <c r="Z114" s="6"/>
      <c r="AA114" s="6">
        <v>44732</v>
      </c>
    </row>
    <row r="115" spans="1:27" x14ac:dyDescent="0.35">
      <c r="A115" s="7" t="s">
        <v>2552</v>
      </c>
      <c r="B115" s="4" t="s">
        <v>2445</v>
      </c>
      <c r="K115" s="4" t="s">
        <v>348</v>
      </c>
      <c r="Y115" s="6"/>
      <c r="Z115" s="6"/>
      <c r="AA115" s="6"/>
    </row>
    <row r="116" spans="1:27" x14ac:dyDescent="0.35">
      <c r="A116" s="7" t="s">
        <v>2553</v>
      </c>
      <c r="B116" s="4" t="s">
        <v>772</v>
      </c>
      <c r="D116" s="4" t="s">
        <v>773</v>
      </c>
      <c r="E116" s="4" t="s">
        <v>774</v>
      </c>
      <c r="F116" s="4" t="s">
        <v>87</v>
      </c>
      <c r="G116" s="4">
        <v>3</v>
      </c>
      <c r="J116" s="4" t="s">
        <v>447</v>
      </c>
      <c r="K116" s="4" t="s">
        <v>106</v>
      </c>
      <c r="L116" s="4" t="s">
        <v>775</v>
      </c>
      <c r="M116" s="4">
        <f>5.25/1000</f>
        <v>5.2500000000000003E-3</v>
      </c>
      <c r="N116" s="4" t="s">
        <v>108</v>
      </c>
      <c r="T116" s="4" t="s">
        <v>776</v>
      </c>
      <c r="U116" s="4" t="s">
        <v>774</v>
      </c>
      <c r="Y116" s="6">
        <v>44715</v>
      </c>
      <c r="Z116" s="6"/>
      <c r="AA116" s="6">
        <v>45037</v>
      </c>
    </row>
    <row r="117" spans="1:27" x14ac:dyDescent="0.35">
      <c r="A117" s="7" t="s">
        <v>784</v>
      </c>
      <c r="B117" s="4" t="s">
        <v>785</v>
      </c>
      <c r="D117" s="4" t="s">
        <v>786</v>
      </c>
      <c r="F117" s="4" t="s">
        <v>87</v>
      </c>
      <c r="G117" s="4">
        <v>2</v>
      </c>
      <c r="H117" s="4" t="s">
        <v>787</v>
      </c>
      <c r="I117" s="4" t="s">
        <v>10</v>
      </c>
      <c r="J117" s="4" t="s">
        <v>447</v>
      </c>
      <c r="K117" s="4" t="s">
        <v>106</v>
      </c>
      <c r="L117" s="4" t="s">
        <v>780</v>
      </c>
      <c r="M117" s="4">
        <f>8.78/1000</f>
        <v>8.7799999999999996E-3</v>
      </c>
      <c r="N117" s="4" t="s">
        <v>108</v>
      </c>
      <c r="O117" s="4" t="s">
        <v>60</v>
      </c>
      <c r="P117" s="4" t="s">
        <v>49</v>
      </c>
      <c r="Q117" s="4" t="s">
        <v>38</v>
      </c>
      <c r="T117" s="4" t="s">
        <v>788</v>
      </c>
      <c r="U117" s="4" t="s">
        <v>789</v>
      </c>
      <c r="V117" s="4" t="s">
        <v>790</v>
      </c>
      <c r="Y117" s="6">
        <v>44715</v>
      </c>
      <c r="Z117" s="6">
        <v>45037</v>
      </c>
      <c r="AA117" s="6">
        <v>45037</v>
      </c>
    </row>
    <row r="118" spans="1:27" x14ac:dyDescent="0.35">
      <c r="A118" s="7" t="s">
        <v>791</v>
      </c>
      <c r="B118" s="4" t="s">
        <v>792</v>
      </c>
      <c r="D118" s="4" t="s">
        <v>793</v>
      </c>
      <c r="E118" s="4" t="s">
        <v>794</v>
      </c>
      <c r="F118" s="4" t="s">
        <v>178</v>
      </c>
      <c r="G118" s="4">
        <v>1.2</v>
      </c>
      <c r="H118" s="4" t="s">
        <v>795</v>
      </c>
      <c r="I118" s="4" t="s">
        <v>10</v>
      </c>
      <c r="J118" s="4" t="s">
        <v>180</v>
      </c>
      <c r="K118" s="4" t="s">
        <v>106</v>
      </c>
      <c r="L118" s="4" t="s">
        <v>181</v>
      </c>
      <c r="M118" s="4">
        <f>0.81/1000</f>
        <v>8.1000000000000006E-4</v>
      </c>
      <c r="N118" s="4" t="s">
        <v>2415</v>
      </c>
      <c r="O118" s="4" t="s">
        <v>49</v>
      </c>
      <c r="P118" s="4" t="s">
        <v>60</v>
      </c>
      <c r="Q118" s="4" t="s">
        <v>121</v>
      </c>
      <c r="T118" s="4" t="s">
        <v>796</v>
      </c>
      <c r="U118" s="4" t="s">
        <v>797</v>
      </c>
      <c r="V118" s="4" t="s">
        <v>798</v>
      </c>
      <c r="Y118" s="6">
        <v>44719</v>
      </c>
      <c r="Z118" s="6">
        <v>45037</v>
      </c>
      <c r="AA118" s="6">
        <v>44733</v>
      </c>
    </row>
    <row r="119" spans="1:27" x14ac:dyDescent="0.35">
      <c r="A119" s="7" t="s">
        <v>799</v>
      </c>
      <c r="B119" s="4" t="s">
        <v>800</v>
      </c>
      <c r="D119" s="4" t="s">
        <v>801</v>
      </c>
      <c r="F119" s="4" t="s">
        <v>103</v>
      </c>
      <c r="G119" s="4">
        <v>1</v>
      </c>
      <c r="J119" s="4" t="s">
        <v>802</v>
      </c>
      <c r="K119" s="4" t="s">
        <v>106</v>
      </c>
      <c r="L119" s="4" t="s">
        <v>803</v>
      </c>
      <c r="M119" s="4">
        <f>8.1/1000</f>
        <v>8.0999999999999996E-3</v>
      </c>
      <c r="N119" s="4" t="s">
        <v>49</v>
      </c>
      <c r="O119" s="4" t="s">
        <v>2415</v>
      </c>
      <c r="T119" s="4" t="s">
        <v>804</v>
      </c>
      <c r="V119" s="14" t="s">
        <v>805</v>
      </c>
      <c r="W119" s="4" t="s">
        <v>2423</v>
      </c>
      <c r="Y119" s="6">
        <v>44727</v>
      </c>
      <c r="Z119" s="6"/>
      <c r="AA119" s="6">
        <v>44733</v>
      </c>
    </row>
    <row r="120" spans="1:27" x14ac:dyDescent="0.35">
      <c r="A120" s="7" t="s">
        <v>806</v>
      </c>
      <c r="B120" s="4" t="s">
        <v>807</v>
      </c>
      <c r="C120" s="4" t="s">
        <v>808</v>
      </c>
      <c r="D120" s="4" t="s">
        <v>809</v>
      </c>
      <c r="E120" s="4" t="s">
        <v>810</v>
      </c>
      <c r="F120" s="4" t="s">
        <v>130</v>
      </c>
      <c r="H120" s="4" t="s">
        <v>811</v>
      </c>
      <c r="I120" s="4" t="s">
        <v>10</v>
      </c>
      <c r="J120" s="4" t="s">
        <v>158</v>
      </c>
      <c r="K120" s="4" t="s">
        <v>106</v>
      </c>
      <c r="L120" s="4" t="s">
        <v>159</v>
      </c>
      <c r="M120" s="4">
        <f>0.89/1000</f>
        <v>8.9000000000000006E-4</v>
      </c>
      <c r="N120" s="4" t="s">
        <v>120</v>
      </c>
      <c r="T120" s="4" t="s">
        <v>160</v>
      </c>
      <c r="U120" s="4" t="s">
        <v>812</v>
      </c>
      <c r="V120" s="15"/>
      <c r="X120" s="4" t="s">
        <v>181</v>
      </c>
      <c r="Y120" s="6">
        <v>44719</v>
      </c>
      <c r="Z120" s="6">
        <v>45040</v>
      </c>
      <c r="AA120" s="6">
        <v>45040</v>
      </c>
    </row>
    <row r="121" spans="1:27" x14ac:dyDescent="0.35">
      <c r="A121" s="7" t="s">
        <v>813</v>
      </c>
      <c r="B121" s="4" t="s">
        <v>814</v>
      </c>
      <c r="D121" s="4" t="s">
        <v>815</v>
      </c>
      <c r="F121" s="4" t="s">
        <v>103</v>
      </c>
      <c r="G121" s="4">
        <v>2.5</v>
      </c>
      <c r="J121" s="4" t="s">
        <v>105</v>
      </c>
      <c r="K121" s="4" t="s">
        <v>106</v>
      </c>
      <c r="L121" s="4" t="s">
        <v>181</v>
      </c>
      <c r="M121" s="4">
        <f>0.08/1000</f>
        <v>8.0000000000000007E-5</v>
      </c>
      <c r="N121" s="4" t="s">
        <v>2415</v>
      </c>
      <c r="O121" s="4" t="s">
        <v>60</v>
      </c>
      <c r="P121" s="4" t="s">
        <v>121</v>
      </c>
      <c r="T121" s="4" t="s">
        <v>816</v>
      </c>
      <c r="V121" s="14" t="s">
        <v>817</v>
      </c>
      <c r="Y121" s="6">
        <v>44719</v>
      </c>
      <c r="Z121" s="6"/>
      <c r="AA121" s="6">
        <v>44733</v>
      </c>
    </row>
    <row r="122" spans="1:27" x14ac:dyDescent="0.35">
      <c r="A122" s="7" t="s">
        <v>818</v>
      </c>
      <c r="B122" s="4" t="s">
        <v>819</v>
      </c>
      <c r="C122" s="4" t="s">
        <v>820</v>
      </c>
      <c r="D122" s="4" t="s">
        <v>821</v>
      </c>
      <c r="E122" s="4" t="s">
        <v>822</v>
      </c>
      <c r="F122" s="4" t="s">
        <v>103</v>
      </c>
      <c r="H122" s="4" t="s">
        <v>823</v>
      </c>
      <c r="J122" s="4" t="s">
        <v>158</v>
      </c>
      <c r="K122" s="4" t="s">
        <v>106</v>
      </c>
      <c r="L122" s="4" t="s">
        <v>181</v>
      </c>
      <c r="N122" s="4" t="s">
        <v>341</v>
      </c>
      <c r="T122" s="4" t="s">
        <v>824</v>
      </c>
      <c r="V122" s="15"/>
      <c r="Y122" s="6">
        <v>44719</v>
      </c>
      <c r="Z122" s="6">
        <v>45040</v>
      </c>
    </row>
    <row r="123" spans="1:27" x14ac:dyDescent="0.35">
      <c r="A123" s="7" t="s">
        <v>825</v>
      </c>
      <c r="B123" s="4" t="s">
        <v>826</v>
      </c>
      <c r="D123" s="4" t="s">
        <v>827</v>
      </c>
      <c r="E123" s="4" t="s">
        <v>828</v>
      </c>
      <c r="F123" s="4" t="s">
        <v>130</v>
      </c>
      <c r="G123" s="4" t="s">
        <v>829</v>
      </c>
      <c r="H123" s="4" t="s">
        <v>830</v>
      </c>
      <c r="I123" s="4" t="s">
        <v>10</v>
      </c>
      <c r="J123" s="4" t="s">
        <v>447</v>
      </c>
      <c r="K123" s="4" t="s">
        <v>106</v>
      </c>
      <c r="L123" s="4" t="s">
        <v>181</v>
      </c>
      <c r="M123" s="4">
        <f>15.6/1000</f>
        <v>1.5599999999999999E-2</v>
      </c>
      <c r="N123" s="4" t="s">
        <v>49</v>
      </c>
      <c r="T123" s="4" t="s">
        <v>140</v>
      </c>
      <c r="U123" s="4" t="s">
        <v>831</v>
      </c>
      <c r="W123" s="4" t="s">
        <v>2424</v>
      </c>
      <c r="Y123" s="6">
        <v>44719</v>
      </c>
      <c r="Z123" s="6">
        <v>45040</v>
      </c>
      <c r="AA123" s="6">
        <v>45027</v>
      </c>
    </row>
    <row r="124" spans="1:27" x14ac:dyDescent="0.35">
      <c r="A124" s="7" t="s">
        <v>832</v>
      </c>
      <c r="B124" s="4" t="s">
        <v>833</v>
      </c>
      <c r="C124" s="4" t="s">
        <v>834</v>
      </c>
      <c r="D124" s="4" t="s">
        <v>835</v>
      </c>
      <c r="E124" s="4" t="s">
        <v>836</v>
      </c>
      <c r="F124" s="4" t="s">
        <v>130</v>
      </c>
      <c r="H124" s="4" t="s">
        <v>837</v>
      </c>
      <c r="J124" s="4" t="s">
        <v>105</v>
      </c>
      <c r="K124" s="4" t="s">
        <v>106</v>
      </c>
      <c r="L124" s="4" t="s">
        <v>119</v>
      </c>
      <c r="M124" s="4">
        <f>18.33/1000</f>
        <v>1.8329999999999999E-2</v>
      </c>
      <c r="N124" s="4" t="s">
        <v>120</v>
      </c>
      <c r="T124" s="4" t="s">
        <v>228</v>
      </c>
      <c r="Y124" s="6">
        <v>44728</v>
      </c>
      <c r="Z124" s="6">
        <v>45027</v>
      </c>
      <c r="AA124" s="6">
        <v>44733</v>
      </c>
    </row>
    <row r="125" spans="1:27" x14ac:dyDescent="0.35">
      <c r="A125" s="7" t="s">
        <v>2554</v>
      </c>
      <c r="B125" s="4" t="s">
        <v>2446</v>
      </c>
      <c r="K125" s="4" t="s">
        <v>348</v>
      </c>
      <c r="Y125" s="6"/>
      <c r="Z125" s="6"/>
      <c r="AA125" s="6"/>
    </row>
    <row r="126" spans="1:27" x14ac:dyDescent="0.35">
      <c r="A126" s="7" t="s">
        <v>838</v>
      </c>
      <c r="B126" s="4" t="s">
        <v>839</v>
      </c>
      <c r="D126" s="4" t="s">
        <v>840</v>
      </c>
      <c r="J126" s="4" t="s">
        <v>347</v>
      </c>
      <c r="K126" s="4" t="s">
        <v>348</v>
      </c>
      <c r="Y126" s="6">
        <v>44719</v>
      </c>
      <c r="Z126" s="6"/>
    </row>
    <row r="127" spans="1:27" x14ac:dyDescent="0.35">
      <c r="A127" s="7" t="s">
        <v>841</v>
      </c>
      <c r="B127" s="4" t="s">
        <v>842</v>
      </c>
      <c r="D127" s="4" t="s">
        <v>843</v>
      </c>
      <c r="E127" s="4" t="s">
        <v>844</v>
      </c>
      <c r="F127" s="4" t="s">
        <v>130</v>
      </c>
      <c r="H127" s="4" t="s">
        <v>845</v>
      </c>
      <c r="J127" s="4" t="s">
        <v>105</v>
      </c>
      <c r="K127" s="4" t="s">
        <v>106</v>
      </c>
      <c r="L127" s="4" t="s">
        <v>119</v>
      </c>
      <c r="M127" s="4">
        <f>0.4/1000</f>
        <v>4.0000000000000002E-4</v>
      </c>
      <c r="N127" s="4" t="s">
        <v>120</v>
      </c>
      <c r="T127" s="4" t="s">
        <v>27</v>
      </c>
      <c r="U127" s="4" t="s">
        <v>846</v>
      </c>
      <c r="Y127" s="6">
        <v>44719</v>
      </c>
      <c r="Z127" s="6">
        <v>45040</v>
      </c>
      <c r="AA127" s="6">
        <v>44733</v>
      </c>
    </row>
    <row r="128" spans="1:27" x14ac:dyDescent="0.35">
      <c r="A128" s="7" t="s">
        <v>847</v>
      </c>
      <c r="B128" s="4" t="s">
        <v>848</v>
      </c>
      <c r="D128" s="4" t="s">
        <v>849</v>
      </c>
      <c r="E128" s="4" t="s">
        <v>850</v>
      </c>
      <c r="F128" s="4" t="s">
        <v>103</v>
      </c>
      <c r="G128" s="4" t="s">
        <v>851</v>
      </c>
      <c r="H128" s="4" t="s">
        <v>852</v>
      </c>
      <c r="I128" s="4" t="s">
        <v>10</v>
      </c>
      <c r="J128" s="4" t="s">
        <v>853</v>
      </c>
      <c r="K128" s="4" t="s">
        <v>106</v>
      </c>
      <c r="L128" s="4" t="s">
        <v>181</v>
      </c>
      <c r="M128" s="4">
        <f>3.09/1000</f>
        <v>3.0899999999999999E-3</v>
      </c>
      <c r="N128" s="4" t="s">
        <v>2415</v>
      </c>
      <c r="O128" s="4" t="s">
        <v>49</v>
      </c>
      <c r="T128" s="4" t="s">
        <v>27</v>
      </c>
      <c r="U128" s="10" t="s">
        <v>854</v>
      </c>
      <c r="V128" s="4" t="s">
        <v>855</v>
      </c>
      <c r="Y128" s="6">
        <v>44719</v>
      </c>
      <c r="Z128" s="6">
        <v>45040</v>
      </c>
      <c r="AA128" s="6">
        <v>44733</v>
      </c>
    </row>
    <row r="129" spans="1:27" x14ac:dyDescent="0.35">
      <c r="A129" s="7" t="s">
        <v>856</v>
      </c>
      <c r="B129" s="4" t="s">
        <v>857</v>
      </c>
      <c r="D129" s="4" t="s">
        <v>858</v>
      </c>
      <c r="E129" s="4" t="s">
        <v>859</v>
      </c>
      <c r="K129" s="4" t="s">
        <v>200</v>
      </c>
      <c r="X129" s="4" t="s">
        <v>181</v>
      </c>
      <c r="Y129" s="6">
        <v>44719</v>
      </c>
      <c r="Z129" s="6"/>
    </row>
    <row r="130" spans="1:27" x14ac:dyDescent="0.35">
      <c r="A130" s="7" t="s">
        <v>860</v>
      </c>
      <c r="B130" s="4" t="s">
        <v>861</v>
      </c>
      <c r="D130" s="4" t="s">
        <v>862</v>
      </c>
      <c r="F130" s="4" t="s">
        <v>178</v>
      </c>
      <c r="G130" s="4">
        <v>0.8</v>
      </c>
      <c r="H130" s="4" t="s">
        <v>863</v>
      </c>
      <c r="J130" s="4" t="s">
        <v>180</v>
      </c>
      <c r="K130" s="4" t="s">
        <v>106</v>
      </c>
      <c r="M130" s="4">
        <f>0.8456/1000</f>
        <v>8.4560000000000006E-4</v>
      </c>
      <c r="N130" s="4" t="s">
        <v>2415</v>
      </c>
      <c r="O130" s="4" t="s">
        <v>49</v>
      </c>
      <c r="P130" s="4" t="s">
        <v>121</v>
      </c>
      <c r="Q130" s="4" t="s">
        <v>2433</v>
      </c>
      <c r="T130" s="4" t="s">
        <v>281</v>
      </c>
      <c r="U130" s="4" t="s">
        <v>864</v>
      </c>
      <c r="V130" s="4" t="s">
        <v>2432</v>
      </c>
      <c r="W130" s="4" t="s">
        <v>2433</v>
      </c>
      <c r="Y130" s="6">
        <v>44719</v>
      </c>
      <c r="Z130" s="6">
        <v>45040</v>
      </c>
      <c r="AA130" s="6">
        <v>44733</v>
      </c>
    </row>
    <row r="131" spans="1:27" x14ac:dyDescent="0.35">
      <c r="A131" s="7" t="s">
        <v>2555</v>
      </c>
      <c r="B131" s="4" t="s">
        <v>865</v>
      </c>
      <c r="D131" s="4" t="s">
        <v>866</v>
      </c>
      <c r="F131" s="4" t="s">
        <v>178</v>
      </c>
      <c r="G131" s="4">
        <v>2</v>
      </c>
      <c r="H131" s="4" t="s">
        <v>867</v>
      </c>
      <c r="J131" s="4" t="s">
        <v>180</v>
      </c>
      <c r="K131" s="4" t="s">
        <v>106</v>
      </c>
      <c r="L131" s="4" t="s">
        <v>181</v>
      </c>
      <c r="N131" s="4" t="s">
        <v>341</v>
      </c>
      <c r="S131" s="4">
        <v>5</v>
      </c>
      <c r="T131" s="4" t="s">
        <v>868</v>
      </c>
      <c r="U131" s="4" t="s">
        <v>869</v>
      </c>
      <c r="V131" s="4" t="s">
        <v>870</v>
      </c>
      <c r="Y131" s="6">
        <v>44719</v>
      </c>
      <c r="Z131" s="6">
        <v>45040</v>
      </c>
    </row>
    <row r="132" spans="1:27" x14ac:dyDescent="0.35">
      <c r="A132" s="7" t="s">
        <v>2556</v>
      </c>
      <c r="B132" s="4" t="s">
        <v>2638</v>
      </c>
      <c r="D132" s="4" t="s">
        <v>871</v>
      </c>
      <c r="E132" s="4" t="s">
        <v>872</v>
      </c>
      <c r="J132" s="4" t="s">
        <v>2419</v>
      </c>
      <c r="K132" s="4" t="s">
        <v>36</v>
      </c>
      <c r="L132" s="4" t="s">
        <v>36</v>
      </c>
      <c r="N132" s="4" t="s">
        <v>60</v>
      </c>
      <c r="T132" s="4" t="s">
        <v>873</v>
      </c>
      <c r="U132" s="4" t="s">
        <v>874</v>
      </c>
      <c r="X132" s="4" t="s">
        <v>199</v>
      </c>
      <c r="Y132" s="6">
        <v>44719</v>
      </c>
      <c r="Z132" s="6"/>
    </row>
    <row r="133" spans="1:27" x14ac:dyDescent="0.35">
      <c r="A133" s="7" t="s">
        <v>875</v>
      </c>
      <c r="B133" s="4" t="s">
        <v>876</v>
      </c>
      <c r="D133" s="4" t="s">
        <v>877</v>
      </c>
      <c r="E133" s="4" t="s">
        <v>878</v>
      </c>
      <c r="J133" s="4" t="s">
        <v>105</v>
      </c>
      <c r="K133" s="4" t="s">
        <v>200</v>
      </c>
      <c r="X133" s="4" t="s">
        <v>181</v>
      </c>
      <c r="Y133" s="6">
        <v>44719</v>
      </c>
      <c r="Z133" s="6"/>
    </row>
    <row r="134" spans="1:27" x14ac:dyDescent="0.35">
      <c r="A134" s="7" t="s">
        <v>2557</v>
      </c>
      <c r="B134" s="4" t="s">
        <v>879</v>
      </c>
      <c r="D134" s="4" t="s">
        <v>880</v>
      </c>
      <c r="E134" s="4" t="s">
        <v>881</v>
      </c>
      <c r="F134" s="4" t="s">
        <v>116</v>
      </c>
      <c r="G134" s="4">
        <v>10</v>
      </c>
      <c r="H134" s="4" t="s">
        <v>882</v>
      </c>
      <c r="J134" s="4" t="s">
        <v>272</v>
      </c>
      <c r="K134" s="4" t="s">
        <v>106</v>
      </c>
      <c r="L134" s="4" t="s">
        <v>119</v>
      </c>
      <c r="M134" s="4">
        <f>15.26/1000</f>
        <v>1.5259999999999999E-2</v>
      </c>
      <c r="N134" s="4" t="s">
        <v>120</v>
      </c>
      <c r="T134" s="4" t="s">
        <v>27</v>
      </c>
      <c r="U134" s="4" t="s">
        <v>883</v>
      </c>
      <c r="Y134" s="6">
        <v>44719</v>
      </c>
      <c r="Z134" s="6">
        <v>45040</v>
      </c>
      <c r="AA134" s="6">
        <v>44733</v>
      </c>
    </row>
    <row r="135" spans="1:27" x14ac:dyDescent="0.35">
      <c r="A135" s="7" t="s">
        <v>884</v>
      </c>
      <c r="B135" s="4" t="s">
        <v>885</v>
      </c>
      <c r="D135" s="4" t="s">
        <v>886</v>
      </c>
      <c r="E135" s="4" t="s">
        <v>887</v>
      </c>
      <c r="F135" s="4" t="s">
        <v>103</v>
      </c>
      <c r="G135" s="4">
        <v>2</v>
      </c>
      <c r="H135" s="4" t="s">
        <v>888</v>
      </c>
      <c r="J135" s="4" t="s">
        <v>105</v>
      </c>
      <c r="K135" s="4" t="s">
        <v>106</v>
      </c>
      <c r="L135" s="4" t="s">
        <v>591</v>
      </c>
      <c r="M135" s="4">
        <f>0.1/1000</f>
        <v>1E-4</v>
      </c>
      <c r="N135" s="4" t="s">
        <v>120</v>
      </c>
      <c r="O135" s="4" t="s">
        <v>49</v>
      </c>
      <c r="P135" s="4" t="s">
        <v>60</v>
      </c>
      <c r="T135" s="4" t="s">
        <v>889</v>
      </c>
      <c r="U135" s="4" t="s">
        <v>890</v>
      </c>
      <c r="V135" s="4" t="s">
        <v>891</v>
      </c>
      <c r="Y135" s="6">
        <v>44719</v>
      </c>
      <c r="Z135" s="6">
        <v>45040</v>
      </c>
      <c r="AA135" s="6">
        <v>44733</v>
      </c>
    </row>
    <row r="136" spans="1:27" x14ac:dyDescent="0.35">
      <c r="A136" s="7" t="s">
        <v>892</v>
      </c>
      <c r="B136" s="4" t="s">
        <v>893</v>
      </c>
      <c r="D136" s="4" t="s">
        <v>894</v>
      </c>
      <c r="J136" s="4" t="s">
        <v>347</v>
      </c>
      <c r="K136" s="4" t="s">
        <v>348</v>
      </c>
      <c r="Y136" s="6">
        <v>44719</v>
      </c>
      <c r="Z136" s="6"/>
    </row>
    <row r="137" spans="1:27" x14ac:dyDescent="0.35">
      <c r="A137" s="7" t="s">
        <v>2558</v>
      </c>
      <c r="B137" s="4" t="s">
        <v>895</v>
      </c>
      <c r="D137" s="4" t="s">
        <v>896</v>
      </c>
      <c r="F137" s="4" t="s">
        <v>178</v>
      </c>
      <c r="G137" s="4">
        <v>0.7</v>
      </c>
      <c r="H137" s="4" t="s">
        <v>897</v>
      </c>
      <c r="I137" s="4" t="s">
        <v>10</v>
      </c>
      <c r="J137" s="4" t="s">
        <v>180</v>
      </c>
      <c r="K137" s="4" t="s">
        <v>106</v>
      </c>
      <c r="L137" s="4" t="s">
        <v>181</v>
      </c>
      <c r="M137" s="4">
        <f>0.2/1000</f>
        <v>2.0000000000000001E-4</v>
      </c>
      <c r="N137" s="4" t="s">
        <v>2415</v>
      </c>
      <c r="T137" s="4" t="s">
        <v>898</v>
      </c>
      <c r="U137" s="4" t="s">
        <v>899</v>
      </c>
      <c r="V137" s="4" t="s">
        <v>900</v>
      </c>
      <c r="Y137" s="6">
        <v>44719</v>
      </c>
      <c r="Z137" s="6">
        <v>45029</v>
      </c>
      <c r="AA137" s="6">
        <v>44733</v>
      </c>
    </row>
    <row r="138" spans="1:27" x14ac:dyDescent="0.35">
      <c r="A138" s="7" t="s">
        <v>901</v>
      </c>
      <c r="B138" s="4" t="s">
        <v>902</v>
      </c>
      <c r="D138" s="4" t="s">
        <v>903</v>
      </c>
      <c r="E138" s="4" t="s">
        <v>904</v>
      </c>
      <c r="F138" s="4" t="s">
        <v>116</v>
      </c>
      <c r="G138" s="4">
        <v>5</v>
      </c>
      <c r="H138" s="4" t="s">
        <v>905</v>
      </c>
      <c r="I138" s="4" t="s">
        <v>10</v>
      </c>
      <c r="J138" s="4" t="s">
        <v>105</v>
      </c>
      <c r="K138" s="4" t="s">
        <v>106</v>
      </c>
      <c r="M138" s="4">
        <f>0.07/1000</f>
        <v>7.0000000000000007E-5</v>
      </c>
      <c r="N138" s="4" t="s">
        <v>341</v>
      </c>
      <c r="T138" s="4" t="s">
        <v>906</v>
      </c>
      <c r="U138" s="4" t="s">
        <v>907</v>
      </c>
      <c r="Y138" s="6">
        <v>44719</v>
      </c>
      <c r="Z138" s="6">
        <v>45040</v>
      </c>
      <c r="AA138" s="6">
        <v>44733</v>
      </c>
    </row>
    <row r="139" spans="1:27" x14ac:dyDescent="0.35">
      <c r="A139" s="7" t="s">
        <v>908</v>
      </c>
      <c r="B139" s="4" t="s">
        <v>909</v>
      </c>
      <c r="D139" s="4" t="s">
        <v>910</v>
      </c>
      <c r="F139" s="4" t="s">
        <v>87</v>
      </c>
      <c r="G139" s="4">
        <v>2.5</v>
      </c>
      <c r="H139" s="4" t="s">
        <v>911</v>
      </c>
      <c r="J139" s="4" t="s">
        <v>105</v>
      </c>
      <c r="K139" s="4" t="s">
        <v>106</v>
      </c>
      <c r="M139" s="4">
        <f>0.08/1000</f>
        <v>8.0000000000000007E-5</v>
      </c>
      <c r="N139" s="4" t="s">
        <v>341</v>
      </c>
      <c r="T139" s="4" t="s">
        <v>906</v>
      </c>
      <c r="U139" s="4" t="s">
        <v>912</v>
      </c>
      <c r="Y139" s="6">
        <v>44719</v>
      </c>
      <c r="Z139" s="6">
        <v>45029</v>
      </c>
      <c r="AA139" s="6">
        <v>44733</v>
      </c>
    </row>
    <row r="140" spans="1:27" x14ac:dyDescent="0.35">
      <c r="A140" s="7" t="s">
        <v>913</v>
      </c>
      <c r="B140" s="4" t="s">
        <v>914</v>
      </c>
      <c r="D140" s="4" t="s">
        <v>915</v>
      </c>
      <c r="F140" s="4" t="s">
        <v>87</v>
      </c>
      <c r="G140" s="4">
        <v>3</v>
      </c>
      <c r="H140" s="4" t="s">
        <v>916</v>
      </c>
      <c r="J140" s="4" t="s">
        <v>105</v>
      </c>
      <c r="K140" s="4" t="s">
        <v>106</v>
      </c>
      <c r="M140" s="4">
        <f>0.016/1000</f>
        <v>1.5999999999999999E-5</v>
      </c>
      <c r="N140" s="4" t="s">
        <v>341</v>
      </c>
      <c r="T140" s="4" t="s">
        <v>906</v>
      </c>
      <c r="U140" s="4" t="s">
        <v>917</v>
      </c>
      <c r="Y140" s="6">
        <v>44719</v>
      </c>
      <c r="Z140" s="6">
        <v>45040</v>
      </c>
      <c r="AA140" s="6">
        <v>44733</v>
      </c>
    </row>
    <row r="141" spans="1:27" x14ac:dyDescent="0.35">
      <c r="A141" s="7" t="s">
        <v>918</v>
      </c>
      <c r="B141" s="4" t="s">
        <v>919</v>
      </c>
      <c r="D141" s="4" t="s">
        <v>920</v>
      </c>
      <c r="F141" s="4" t="s">
        <v>87</v>
      </c>
      <c r="G141" s="4">
        <v>0.3</v>
      </c>
      <c r="H141" s="4" t="s">
        <v>921</v>
      </c>
      <c r="J141" s="4" t="s">
        <v>105</v>
      </c>
      <c r="K141" s="4" t="s">
        <v>106</v>
      </c>
      <c r="L141" s="4" t="s">
        <v>181</v>
      </c>
      <c r="M141" s="4">
        <f>0.1322/1000</f>
        <v>1.3220000000000001E-4</v>
      </c>
      <c r="N141" s="4" t="s">
        <v>2415</v>
      </c>
      <c r="O141" s="4" t="s">
        <v>121</v>
      </c>
      <c r="P141" s="4" t="s">
        <v>60</v>
      </c>
      <c r="S141" s="4" t="s">
        <v>922</v>
      </c>
      <c r="T141" s="4" t="s">
        <v>923</v>
      </c>
      <c r="U141" s="4" t="s">
        <v>924</v>
      </c>
      <c r="V141" s="4" t="s">
        <v>925</v>
      </c>
      <c r="Y141" s="6">
        <v>44719</v>
      </c>
      <c r="Z141" s="6">
        <v>45040</v>
      </c>
      <c r="AA141" s="6">
        <v>44733</v>
      </c>
    </row>
    <row r="142" spans="1:27" x14ac:dyDescent="0.35">
      <c r="A142" s="7" t="s">
        <v>926</v>
      </c>
      <c r="B142" s="4" t="s">
        <v>927</v>
      </c>
      <c r="D142" s="4" t="s">
        <v>928</v>
      </c>
      <c r="F142" s="4" t="s">
        <v>87</v>
      </c>
      <c r="G142" s="4">
        <v>2</v>
      </c>
      <c r="H142" s="4" t="s">
        <v>929</v>
      </c>
      <c r="J142" s="4" t="s">
        <v>105</v>
      </c>
      <c r="K142" s="4" t="s">
        <v>106</v>
      </c>
      <c r="L142" s="4" t="s">
        <v>181</v>
      </c>
      <c r="M142" s="4">
        <f>0.012/1000</f>
        <v>1.2E-5</v>
      </c>
      <c r="N142" s="4" t="s">
        <v>2415</v>
      </c>
      <c r="T142" s="4" t="s">
        <v>906</v>
      </c>
      <c r="U142" s="4" t="s">
        <v>930</v>
      </c>
      <c r="V142" s="4" t="s">
        <v>161</v>
      </c>
      <c r="Y142" s="6">
        <v>44719</v>
      </c>
      <c r="Z142" s="6">
        <v>45040</v>
      </c>
      <c r="AA142" s="6">
        <v>44733</v>
      </c>
    </row>
    <row r="143" spans="1:27" x14ac:dyDescent="0.35">
      <c r="A143" s="7" t="s">
        <v>931</v>
      </c>
      <c r="B143" s="4" t="s">
        <v>932</v>
      </c>
      <c r="D143" s="4" t="s">
        <v>933</v>
      </c>
      <c r="E143" s="4" t="s">
        <v>2528</v>
      </c>
      <c r="F143" s="4" t="s">
        <v>87</v>
      </c>
      <c r="G143" s="4">
        <v>0.5</v>
      </c>
      <c r="J143" s="4" t="s">
        <v>105</v>
      </c>
      <c r="K143" s="4" t="s">
        <v>106</v>
      </c>
      <c r="M143" s="4">
        <f>0.048/1000</f>
        <v>4.8000000000000001E-5</v>
      </c>
      <c r="X143" s="4" t="s">
        <v>181</v>
      </c>
      <c r="Y143" s="6">
        <v>44719</v>
      </c>
      <c r="Z143" s="6"/>
      <c r="AA143" s="6">
        <v>44733</v>
      </c>
    </row>
    <row r="144" spans="1:27" x14ac:dyDescent="0.35">
      <c r="A144" s="7" t="s">
        <v>934</v>
      </c>
      <c r="B144" s="4" t="s">
        <v>935</v>
      </c>
      <c r="D144" s="4" t="s">
        <v>936</v>
      </c>
      <c r="F144" s="4" t="s">
        <v>103</v>
      </c>
      <c r="G144" s="4">
        <v>0.4</v>
      </c>
      <c r="H144" s="4" t="s">
        <v>937</v>
      </c>
      <c r="I144" s="4" t="s">
        <v>10</v>
      </c>
      <c r="J144" s="4" t="s">
        <v>158</v>
      </c>
      <c r="K144" s="4" t="s">
        <v>106</v>
      </c>
      <c r="L144" s="4" t="s">
        <v>159</v>
      </c>
      <c r="M144" s="4">
        <f>0.0524/1000</f>
        <v>5.24E-5</v>
      </c>
      <c r="N144" s="5" t="s">
        <v>120</v>
      </c>
      <c r="O144" s="5" t="s">
        <v>49</v>
      </c>
      <c r="P144" s="5"/>
      <c r="Q144" s="5"/>
      <c r="R144" s="5"/>
      <c r="S144" s="5"/>
      <c r="T144" s="4" t="s">
        <v>938</v>
      </c>
      <c r="U144" s="4" t="s">
        <v>939</v>
      </c>
      <c r="Y144" s="6">
        <v>44719</v>
      </c>
      <c r="Z144" s="6">
        <v>45029</v>
      </c>
      <c r="AA144" s="6">
        <v>45029</v>
      </c>
    </row>
    <row r="145" spans="1:27" x14ac:dyDescent="0.35">
      <c r="A145" s="7" t="s">
        <v>948</v>
      </c>
      <c r="B145" s="4" t="s">
        <v>949</v>
      </c>
      <c r="C145" s="4" t="s">
        <v>950</v>
      </c>
      <c r="F145" s="4" t="s">
        <v>103</v>
      </c>
      <c r="G145" s="4">
        <v>0.6</v>
      </c>
      <c r="H145" s="4" t="s">
        <v>951</v>
      </c>
      <c r="I145" s="4" t="s">
        <v>10</v>
      </c>
      <c r="J145" s="4" t="s">
        <v>105</v>
      </c>
      <c r="K145" s="4" t="s">
        <v>106</v>
      </c>
      <c r="L145" s="4" t="s">
        <v>181</v>
      </c>
      <c r="M145" s="4">
        <f>0.03/1000</f>
        <v>2.9999999999999997E-5</v>
      </c>
      <c r="N145" s="4" t="s">
        <v>49</v>
      </c>
      <c r="T145" s="4" t="s">
        <v>952</v>
      </c>
      <c r="U145" s="4" t="s">
        <v>953</v>
      </c>
      <c r="V145" s="4" t="s">
        <v>954</v>
      </c>
      <c r="Y145" s="6">
        <v>44719</v>
      </c>
      <c r="Z145" s="6">
        <v>45029</v>
      </c>
      <c r="AA145" s="6">
        <v>45029</v>
      </c>
    </row>
    <row r="146" spans="1:27" x14ac:dyDescent="0.35">
      <c r="A146" s="7" t="s">
        <v>2633</v>
      </c>
      <c r="B146" s="4" t="s">
        <v>2639</v>
      </c>
      <c r="D146" s="4" t="s">
        <v>955</v>
      </c>
      <c r="E146" s="4" t="s">
        <v>956</v>
      </c>
      <c r="J146" s="4" t="s">
        <v>447</v>
      </c>
      <c r="K146" s="4" t="s">
        <v>106</v>
      </c>
      <c r="X146" s="4" t="s">
        <v>181</v>
      </c>
      <c r="Y146" s="6">
        <v>44719</v>
      </c>
      <c r="Z146" s="6"/>
    </row>
    <row r="147" spans="1:27" x14ac:dyDescent="0.35">
      <c r="A147" s="7" t="s">
        <v>957</v>
      </c>
      <c r="B147" s="4" t="s">
        <v>958</v>
      </c>
      <c r="D147" s="4" t="s">
        <v>959</v>
      </c>
      <c r="F147" s="4" t="s">
        <v>103</v>
      </c>
      <c r="G147" s="4">
        <v>0.3</v>
      </c>
      <c r="J147" s="4" t="s">
        <v>105</v>
      </c>
      <c r="K147" s="4" t="s">
        <v>106</v>
      </c>
      <c r="L147" s="4" t="s">
        <v>181</v>
      </c>
      <c r="M147" s="4">
        <f>1.5/1000</f>
        <v>1.5E-3</v>
      </c>
      <c r="N147" s="4" t="s">
        <v>341</v>
      </c>
      <c r="T147" s="4" t="s">
        <v>960</v>
      </c>
      <c r="V147" s="4" t="s">
        <v>961</v>
      </c>
      <c r="Y147" s="6">
        <v>44719</v>
      </c>
      <c r="Z147" s="6"/>
      <c r="AA147" s="6">
        <v>44733</v>
      </c>
    </row>
    <row r="148" spans="1:27" x14ac:dyDescent="0.35">
      <c r="A148" s="7" t="s">
        <v>2559</v>
      </c>
      <c r="B148" s="4" t="s">
        <v>962</v>
      </c>
      <c r="D148" s="4" t="s">
        <v>963</v>
      </c>
      <c r="E148" s="4" t="s">
        <v>964</v>
      </c>
      <c r="F148" s="4" t="s">
        <v>116</v>
      </c>
      <c r="G148" s="4">
        <v>30</v>
      </c>
      <c r="H148" s="4" t="s">
        <v>965</v>
      </c>
      <c r="J148" s="4" t="s">
        <v>802</v>
      </c>
      <c r="K148" s="4" t="s">
        <v>106</v>
      </c>
      <c r="L148" s="4" t="s">
        <v>181</v>
      </c>
      <c r="M148" s="4">
        <f>8.91/1000</f>
        <v>8.9099999999999995E-3</v>
      </c>
      <c r="N148" s="5" t="s">
        <v>2415</v>
      </c>
      <c r="P148" s="5"/>
      <c r="Q148" s="5"/>
      <c r="R148" s="5"/>
      <c r="S148" s="5"/>
      <c r="T148" s="5" t="s">
        <v>966</v>
      </c>
      <c r="V148" s="14" t="s">
        <v>967</v>
      </c>
      <c r="Y148" s="6">
        <v>44719</v>
      </c>
      <c r="Z148" s="6">
        <v>45040</v>
      </c>
      <c r="AA148" s="6">
        <v>44733</v>
      </c>
    </row>
    <row r="149" spans="1:27" x14ac:dyDescent="0.35">
      <c r="A149" s="7" t="s">
        <v>970</v>
      </c>
      <c r="B149" s="4" t="s">
        <v>971</v>
      </c>
      <c r="D149" s="4" t="s">
        <v>972</v>
      </c>
      <c r="E149" s="4" t="s">
        <v>973</v>
      </c>
      <c r="F149" s="4" t="s">
        <v>33</v>
      </c>
      <c r="G149" s="4">
        <v>6</v>
      </c>
      <c r="H149" s="4" t="s">
        <v>974</v>
      </c>
      <c r="I149" s="4" t="s">
        <v>10</v>
      </c>
      <c r="J149" s="4" t="s">
        <v>546</v>
      </c>
      <c r="K149" s="4" t="s">
        <v>36</v>
      </c>
      <c r="L149" s="4" t="s">
        <v>36</v>
      </c>
      <c r="M149" s="4">
        <f>38.95/1000</f>
        <v>3.8950000000000005E-2</v>
      </c>
      <c r="N149" s="4" t="s">
        <v>60</v>
      </c>
      <c r="T149" s="4" t="s">
        <v>975</v>
      </c>
      <c r="U149" s="4" t="s">
        <v>976</v>
      </c>
      <c r="V149" s="4" t="s">
        <v>977</v>
      </c>
      <c r="Y149" s="6">
        <v>44719</v>
      </c>
      <c r="Z149" s="6"/>
      <c r="AA149" s="6">
        <v>45093</v>
      </c>
    </row>
    <row r="150" spans="1:27" x14ac:dyDescent="0.35">
      <c r="A150" s="7" t="s">
        <v>978</v>
      </c>
      <c r="B150" s="4" t="s">
        <v>979</v>
      </c>
      <c r="D150" s="4" t="s">
        <v>980</v>
      </c>
      <c r="E150" s="4" t="s">
        <v>981</v>
      </c>
      <c r="F150" s="4" t="s">
        <v>33</v>
      </c>
      <c r="G150" s="4">
        <v>7</v>
      </c>
      <c r="H150" s="4" t="s">
        <v>982</v>
      </c>
      <c r="J150" s="4" t="s">
        <v>546</v>
      </c>
      <c r="K150" s="4" t="s">
        <v>36</v>
      </c>
      <c r="L150" s="4" t="s">
        <v>36</v>
      </c>
      <c r="M150" s="4">
        <f>29.67/1000</f>
        <v>2.9670000000000002E-2</v>
      </c>
      <c r="N150" s="4" t="s">
        <v>60</v>
      </c>
      <c r="T150" s="4" t="s">
        <v>983</v>
      </c>
      <c r="U150" s="10" t="s">
        <v>984</v>
      </c>
      <c r="V150" s="4" t="s">
        <v>985</v>
      </c>
      <c r="Y150" s="6">
        <v>44719</v>
      </c>
      <c r="Z150" s="6"/>
      <c r="AA150" s="6">
        <v>45093</v>
      </c>
    </row>
    <row r="151" spans="1:27" x14ac:dyDescent="0.35">
      <c r="A151" s="7" t="s">
        <v>986</v>
      </c>
      <c r="B151" s="4" t="s">
        <v>987</v>
      </c>
      <c r="D151" s="4" t="s">
        <v>988</v>
      </c>
      <c r="F151" s="4" t="s">
        <v>103</v>
      </c>
      <c r="G151" s="4">
        <v>1.8</v>
      </c>
      <c r="H151" s="4" t="s">
        <v>989</v>
      </c>
      <c r="I151" s="4" t="s">
        <v>10</v>
      </c>
      <c r="J151" s="4" t="s">
        <v>158</v>
      </c>
      <c r="K151" s="4" t="s">
        <v>106</v>
      </c>
      <c r="L151" s="4" t="s">
        <v>159</v>
      </c>
      <c r="M151" s="4">
        <f>0.29/1000</f>
        <v>2.9E-4</v>
      </c>
      <c r="N151" s="4" t="s">
        <v>120</v>
      </c>
      <c r="O151" s="4" t="s">
        <v>60</v>
      </c>
      <c r="P151" s="4" t="s">
        <v>49</v>
      </c>
      <c r="Q151" s="4" t="s">
        <v>121</v>
      </c>
      <c r="T151" s="4" t="s">
        <v>990</v>
      </c>
      <c r="U151" s="4" t="s">
        <v>991</v>
      </c>
      <c r="V151" s="4" t="s">
        <v>992</v>
      </c>
      <c r="Y151" s="6">
        <v>44719</v>
      </c>
      <c r="Z151" s="6">
        <v>45029</v>
      </c>
      <c r="AA151" s="6">
        <v>44733</v>
      </c>
    </row>
    <row r="152" spans="1:27" x14ac:dyDescent="0.35">
      <c r="A152" s="7" t="s">
        <v>2560</v>
      </c>
      <c r="B152" s="4" t="s">
        <v>993</v>
      </c>
      <c r="D152" s="4" t="s">
        <v>994</v>
      </c>
      <c r="E152" s="4" t="s">
        <v>995</v>
      </c>
      <c r="F152" s="4" t="s">
        <v>103</v>
      </c>
      <c r="G152" s="4">
        <v>0.7</v>
      </c>
      <c r="H152" s="4" t="s">
        <v>996</v>
      </c>
      <c r="J152" s="4" t="s">
        <v>105</v>
      </c>
      <c r="K152" s="4" t="s">
        <v>106</v>
      </c>
      <c r="L152" s="4" t="s">
        <v>997</v>
      </c>
      <c r="M152" s="4">
        <f>5.8/1000</f>
        <v>5.7999999999999996E-3</v>
      </c>
      <c r="N152" s="4" t="s">
        <v>49</v>
      </c>
      <c r="T152" s="4" t="s">
        <v>998</v>
      </c>
      <c r="V152" s="4" t="s">
        <v>999</v>
      </c>
      <c r="Y152" s="6">
        <v>44719</v>
      </c>
      <c r="Z152" s="6">
        <v>45040</v>
      </c>
      <c r="AA152" s="6">
        <v>44733</v>
      </c>
    </row>
    <row r="153" spans="1:27" x14ac:dyDescent="0.35">
      <c r="A153" s="7" t="s">
        <v>2561</v>
      </c>
      <c r="B153" s="4" t="s">
        <v>1000</v>
      </c>
      <c r="D153" s="4" t="s">
        <v>1001</v>
      </c>
      <c r="E153" s="5" t="s">
        <v>1002</v>
      </c>
      <c r="F153" s="4" t="s">
        <v>87</v>
      </c>
      <c r="G153" s="4">
        <v>2</v>
      </c>
      <c r="H153" s="4" t="s">
        <v>1003</v>
      </c>
      <c r="J153" s="4" t="s">
        <v>1004</v>
      </c>
      <c r="K153" s="4" t="s">
        <v>36</v>
      </c>
      <c r="L153" s="4" t="s">
        <v>36</v>
      </c>
      <c r="M153" s="4">
        <f>7.1/1000</f>
        <v>7.0999999999999995E-3</v>
      </c>
      <c r="N153" s="5" t="s">
        <v>60</v>
      </c>
      <c r="T153" s="5" t="s">
        <v>1005</v>
      </c>
      <c r="U153" s="4" t="s">
        <v>1006</v>
      </c>
      <c r="Y153" s="6">
        <v>44727</v>
      </c>
      <c r="Z153" s="6"/>
      <c r="AA153" s="6">
        <v>45093</v>
      </c>
    </row>
    <row r="154" spans="1:27" x14ac:dyDescent="0.35">
      <c r="A154" s="7" t="s">
        <v>1007</v>
      </c>
      <c r="B154" s="4" t="s">
        <v>1008</v>
      </c>
      <c r="D154" s="4" t="s">
        <v>1009</v>
      </c>
      <c r="E154" s="4" t="s">
        <v>1010</v>
      </c>
      <c r="F154" s="4" t="s">
        <v>178</v>
      </c>
      <c r="G154" s="4">
        <v>0.45</v>
      </c>
      <c r="H154" s="4" t="s">
        <v>1011</v>
      </c>
      <c r="I154" s="4" t="s">
        <v>10</v>
      </c>
      <c r="J154" s="4" t="s">
        <v>180</v>
      </c>
      <c r="K154" s="4" t="s">
        <v>106</v>
      </c>
      <c r="L154" s="4" t="s">
        <v>1012</v>
      </c>
      <c r="M154" s="4">
        <f>1.1/1000</f>
        <v>1.1000000000000001E-3</v>
      </c>
      <c r="N154" s="4" t="s">
        <v>60</v>
      </c>
      <c r="O154" s="4" t="s">
        <v>121</v>
      </c>
      <c r="T154" s="4" t="s">
        <v>1013</v>
      </c>
      <c r="U154" s="10" t="s">
        <v>1014</v>
      </c>
      <c r="V154" s="4" t="s">
        <v>1015</v>
      </c>
      <c r="Y154" s="6">
        <v>44719</v>
      </c>
      <c r="Z154" s="6"/>
      <c r="AA154" s="6">
        <v>44733</v>
      </c>
    </row>
    <row r="155" spans="1:27" x14ac:dyDescent="0.35">
      <c r="A155" s="7" t="s">
        <v>1016</v>
      </c>
      <c r="B155" s="4" t="s">
        <v>1017</v>
      </c>
      <c r="D155" s="4" t="s">
        <v>1018</v>
      </c>
      <c r="E155" s="16" t="s">
        <v>1019</v>
      </c>
      <c r="F155" s="16" t="s">
        <v>116</v>
      </c>
      <c r="G155" s="16">
        <v>55</v>
      </c>
      <c r="H155" s="16" t="s">
        <v>1020</v>
      </c>
      <c r="I155" s="16"/>
      <c r="J155" s="4" t="s">
        <v>1021</v>
      </c>
      <c r="K155" s="4" t="s">
        <v>36</v>
      </c>
      <c r="L155" s="4" t="s">
        <v>36</v>
      </c>
      <c r="M155" s="4">
        <f>2.03/1000</f>
        <v>2.0299999999999997E-3</v>
      </c>
      <c r="N155" s="4" t="s">
        <v>60</v>
      </c>
      <c r="T155" s="4" t="s">
        <v>1022</v>
      </c>
      <c r="U155" s="4" t="s">
        <v>1023</v>
      </c>
      <c r="Y155" s="6">
        <v>44719</v>
      </c>
      <c r="Z155" s="6">
        <v>45093</v>
      </c>
      <c r="AA155" s="6">
        <v>45093</v>
      </c>
    </row>
    <row r="156" spans="1:27" x14ac:dyDescent="0.35">
      <c r="A156" s="7" t="s">
        <v>1024</v>
      </c>
      <c r="B156" s="4" t="s">
        <v>1025</v>
      </c>
      <c r="D156" s="4" t="s">
        <v>1026</v>
      </c>
      <c r="F156" s="4" t="s">
        <v>116</v>
      </c>
      <c r="G156" s="4">
        <v>30</v>
      </c>
      <c r="H156" s="4" t="s">
        <v>1027</v>
      </c>
      <c r="I156" s="4" t="s">
        <v>10</v>
      </c>
      <c r="J156" s="4" t="s">
        <v>118</v>
      </c>
      <c r="K156" s="4" t="s">
        <v>106</v>
      </c>
      <c r="L156" s="4" t="s">
        <v>119</v>
      </c>
      <c r="M156" s="4">
        <f>61.6/1000</f>
        <v>6.1600000000000002E-2</v>
      </c>
      <c r="N156" s="4" t="s">
        <v>120</v>
      </c>
      <c r="O156" s="4" t="s">
        <v>60</v>
      </c>
      <c r="T156" s="4" t="s">
        <v>1028</v>
      </c>
      <c r="U156" s="4" t="s">
        <v>1029</v>
      </c>
      <c r="V156" s="4" t="s">
        <v>1030</v>
      </c>
      <c r="Y156" s="6">
        <v>44719</v>
      </c>
      <c r="Z156" s="6">
        <v>45040</v>
      </c>
      <c r="AA156" s="6">
        <v>44733</v>
      </c>
    </row>
    <row r="157" spans="1:27" x14ac:dyDescent="0.35">
      <c r="A157" s="7" t="s">
        <v>1031</v>
      </c>
      <c r="B157" s="4" t="s">
        <v>1032</v>
      </c>
      <c r="D157" s="4" t="s">
        <v>1033</v>
      </c>
      <c r="E157" s="4" t="s">
        <v>1034</v>
      </c>
      <c r="F157" s="4" t="s">
        <v>87</v>
      </c>
      <c r="G157" s="4">
        <v>3</v>
      </c>
      <c r="H157" s="4" t="s">
        <v>1035</v>
      </c>
      <c r="J157" s="4" t="s">
        <v>132</v>
      </c>
      <c r="K157" s="4" t="s">
        <v>36</v>
      </c>
      <c r="L157" s="4" t="s">
        <v>36</v>
      </c>
      <c r="N157" s="4" t="s">
        <v>60</v>
      </c>
      <c r="W157" s="4" t="s">
        <v>248</v>
      </c>
      <c r="Y157" s="6">
        <v>44727</v>
      </c>
      <c r="Z157" s="6"/>
    </row>
    <row r="158" spans="1:27" x14ac:dyDescent="0.35">
      <c r="A158" s="7" t="s">
        <v>2562</v>
      </c>
      <c r="B158" s="4" t="s">
        <v>1036</v>
      </c>
      <c r="K158" s="4" t="s">
        <v>106</v>
      </c>
      <c r="X158" s="4" t="s">
        <v>181</v>
      </c>
      <c r="Y158" s="6">
        <v>44719</v>
      </c>
      <c r="Z158" s="6"/>
    </row>
    <row r="159" spans="1:27" x14ac:dyDescent="0.35">
      <c r="A159" s="7" t="s">
        <v>1037</v>
      </c>
      <c r="B159" s="4" t="s">
        <v>1038</v>
      </c>
      <c r="E159" s="4" t="s">
        <v>1039</v>
      </c>
      <c r="F159" s="4" t="s">
        <v>87</v>
      </c>
      <c r="G159" s="4">
        <v>5</v>
      </c>
      <c r="K159" s="4" t="s">
        <v>106</v>
      </c>
      <c r="X159" s="4" t="s">
        <v>181</v>
      </c>
      <c r="Y159" s="6">
        <v>44719</v>
      </c>
      <c r="Z159" s="6"/>
    </row>
    <row r="160" spans="1:27" x14ac:dyDescent="0.35">
      <c r="A160" s="7" t="s">
        <v>1040</v>
      </c>
      <c r="B160" s="4" t="s">
        <v>1041</v>
      </c>
      <c r="C160" s="4" t="s">
        <v>1042</v>
      </c>
      <c r="D160" s="4" t="s">
        <v>1043</v>
      </c>
      <c r="E160" s="4" t="s">
        <v>1044</v>
      </c>
      <c r="F160" s="4" t="s">
        <v>87</v>
      </c>
      <c r="G160" s="4">
        <v>2.5</v>
      </c>
      <c r="J160" s="4" t="s">
        <v>447</v>
      </c>
      <c r="K160" s="4" t="s">
        <v>106</v>
      </c>
      <c r="L160" s="4" t="s">
        <v>1045</v>
      </c>
      <c r="M160" s="4">
        <f>7.3/1000</f>
        <v>7.3000000000000001E-3</v>
      </c>
      <c r="N160" s="4" t="s">
        <v>108</v>
      </c>
      <c r="T160" s="4" t="s">
        <v>776</v>
      </c>
      <c r="U160" s="4" t="s">
        <v>1046</v>
      </c>
      <c r="X160" s="4" t="s">
        <v>199</v>
      </c>
      <c r="Y160" s="6">
        <v>44719</v>
      </c>
      <c r="Z160" s="6"/>
      <c r="AA160" s="6">
        <v>44733</v>
      </c>
    </row>
    <row r="161" spans="1:27" x14ac:dyDescent="0.35">
      <c r="A161" s="7" t="s">
        <v>1047</v>
      </c>
      <c r="B161" s="4" t="s">
        <v>1048</v>
      </c>
      <c r="D161" s="4" t="s">
        <v>1049</v>
      </c>
      <c r="F161" s="4" t="s">
        <v>103</v>
      </c>
      <c r="G161" s="4">
        <v>0.3</v>
      </c>
      <c r="H161" s="4" t="s">
        <v>1050</v>
      </c>
      <c r="J161" s="4" t="s">
        <v>105</v>
      </c>
      <c r="K161" s="4" t="s">
        <v>106</v>
      </c>
      <c r="L161" s="4" t="s">
        <v>1051</v>
      </c>
      <c r="M161" s="4">
        <f>0.96/1000</f>
        <v>9.5999999999999992E-4</v>
      </c>
      <c r="N161" s="4" t="s">
        <v>108</v>
      </c>
      <c r="O161" s="4" t="s">
        <v>2415</v>
      </c>
      <c r="P161" s="4" t="s">
        <v>49</v>
      </c>
      <c r="T161" s="4" t="s">
        <v>1052</v>
      </c>
      <c r="V161" s="4" t="s">
        <v>1053</v>
      </c>
      <c r="Y161" s="6">
        <v>44719</v>
      </c>
      <c r="Z161" s="6"/>
      <c r="AA161" s="6">
        <v>44733</v>
      </c>
    </row>
    <row r="162" spans="1:27" x14ac:dyDescent="0.35">
      <c r="A162" s="7" t="s">
        <v>2563</v>
      </c>
      <c r="B162" s="4" t="s">
        <v>1054</v>
      </c>
      <c r="D162" s="4" t="s">
        <v>1055</v>
      </c>
      <c r="E162" s="4" t="s">
        <v>1056</v>
      </c>
      <c r="F162" s="4" t="s">
        <v>178</v>
      </c>
      <c r="H162" s="4" t="s">
        <v>1057</v>
      </c>
      <c r="I162" s="4" t="s">
        <v>10</v>
      </c>
      <c r="J162" s="4" t="s">
        <v>180</v>
      </c>
      <c r="K162" s="4" t="s">
        <v>200</v>
      </c>
      <c r="M162" s="4">
        <f>1.28/1000</f>
        <v>1.2800000000000001E-3</v>
      </c>
      <c r="N162" s="4" t="s">
        <v>49</v>
      </c>
      <c r="T162" s="4" t="s">
        <v>1058</v>
      </c>
      <c r="U162" s="4" t="s">
        <v>1059</v>
      </c>
      <c r="V162" s="4" t="s">
        <v>1060</v>
      </c>
      <c r="Y162" s="6">
        <v>44719</v>
      </c>
      <c r="Z162" s="6">
        <v>45040</v>
      </c>
      <c r="AA162" s="6">
        <v>45040</v>
      </c>
    </row>
    <row r="163" spans="1:27" x14ac:dyDescent="0.35">
      <c r="A163" s="7" t="s">
        <v>2564</v>
      </c>
      <c r="B163" s="4" t="s">
        <v>1061</v>
      </c>
      <c r="D163" s="4" t="s">
        <v>1062</v>
      </c>
      <c r="E163" s="4" t="s">
        <v>1056</v>
      </c>
      <c r="F163" s="4" t="s">
        <v>178</v>
      </c>
      <c r="H163" s="4" t="s">
        <v>1063</v>
      </c>
      <c r="I163" s="4" t="s">
        <v>10</v>
      </c>
      <c r="J163" s="4" t="s">
        <v>180</v>
      </c>
      <c r="K163" s="4" t="s">
        <v>200</v>
      </c>
      <c r="L163" s="4" t="s">
        <v>1064</v>
      </c>
      <c r="M163" s="4">
        <f>1.43/1000</f>
        <v>1.4299999999999998E-3</v>
      </c>
      <c r="N163" s="4" t="s">
        <v>49</v>
      </c>
      <c r="O163" s="4" t="s">
        <v>121</v>
      </c>
      <c r="P163" s="4" t="s">
        <v>60</v>
      </c>
      <c r="T163" s="4" t="s">
        <v>1065</v>
      </c>
      <c r="U163" s="4" t="s">
        <v>1066</v>
      </c>
      <c r="V163" s="4" t="s">
        <v>1067</v>
      </c>
      <c r="Y163" s="6">
        <v>44719</v>
      </c>
      <c r="Z163" s="6"/>
      <c r="AA163" s="6">
        <v>45040</v>
      </c>
    </row>
    <row r="164" spans="1:27" x14ac:dyDescent="0.35">
      <c r="A164" s="7" t="s">
        <v>2565</v>
      </c>
      <c r="B164" s="4" t="s">
        <v>1068</v>
      </c>
      <c r="D164" s="4" t="s">
        <v>1069</v>
      </c>
      <c r="E164" s="4" t="s">
        <v>1056</v>
      </c>
      <c r="F164" s="4" t="s">
        <v>178</v>
      </c>
      <c r="J164" s="4" t="s">
        <v>180</v>
      </c>
      <c r="K164" s="4" t="s">
        <v>200</v>
      </c>
      <c r="L164" s="4" t="s">
        <v>997</v>
      </c>
      <c r="M164" s="4">
        <f>0.95/1000</f>
        <v>9.5E-4</v>
      </c>
      <c r="N164" s="4" t="s">
        <v>49</v>
      </c>
      <c r="T164" s="4" t="s">
        <v>1070</v>
      </c>
      <c r="V164" s="4" t="s">
        <v>1071</v>
      </c>
      <c r="Y164" s="6">
        <v>44719</v>
      </c>
      <c r="Z164" s="6"/>
      <c r="AA164" s="6">
        <v>45040</v>
      </c>
    </row>
    <row r="165" spans="1:27" x14ac:dyDescent="0.35">
      <c r="A165" s="7" t="s">
        <v>1072</v>
      </c>
      <c r="B165" s="4" t="s">
        <v>1073</v>
      </c>
      <c r="C165" s="4" t="s">
        <v>729</v>
      </c>
      <c r="D165" s="4" t="s">
        <v>1074</v>
      </c>
      <c r="E165" s="4" t="s">
        <v>1075</v>
      </c>
      <c r="F165" s="4" t="s">
        <v>103</v>
      </c>
      <c r="G165" s="4">
        <v>2.5</v>
      </c>
      <c r="H165" s="4" t="s">
        <v>1076</v>
      </c>
      <c r="I165" s="4" t="s">
        <v>10</v>
      </c>
      <c r="J165" s="4" t="s">
        <v>675</v>
      </c>
      <c r="K165" s="4" t="s">
        <v>36</v>
      </c>
      <c r="L165" s="4" t="s">
        <v>36</v>
      </c>
      <c r="M165" s="4">
        <f>0.78/1000</f>
        <v>7.7999999999999999E-4</v>
      </c>
      <c r="N165" s="4" t="s">
        <v>60</v>
      </c>
      <c r="T165" s="4" t="s">
        <v>1077</v>
      </c>
      <c r="U165" s="4" t="s">
        <v>1078</v>
      </c>
      <c r="Y165" s="6">
        <v>44719</v>
      </c>
      <c r="Z165" s="6"/>
      <c r="AA165" s="6">
        <v>45093</v>
      </c>
    </row>
    <row r="166" spans="1:27" x14ac:dyDescent="0.35">
      <c r="A166" s="7" t="s">
        <v>1079</v>
      </c>
      <c r="B166" s="4" t="s">
        <v>1080</v>
      </c>
      <c r="D166" s="4" t="s">
        <v>1081</v>
      </c>
      <c r="E166" s="4" t="s">
        <v>1082</v>
      </c>
      <c r="F166" s="4" t="s">
        <v>103</v>
      </c>
      <c r="G166" s="4">
        <v>1</v>
      </c>
      <c r="H166" s="4" t="s">
        <v>1083</v>
      </c>
      <c r="I166" s="4" t="s">
        <v>10</v>
      </c>
      <c r="J166" s="4" t="s">
        <v>158</v>
      </c>
      <c r="K166" s="4" t="s">
        <v>200</v>
      </c>
      <c r="N166" s="4" t="s">
        <v>49</v>
      </c>
      <c r="O166" s="4" t="s">
        <v>121</v>
      </c>
      <c r="T166" s="4" t="s">
        <v>27</v>
      </c>
      <c r="U166" s="4" t="s">
        <v>1084</v>
      </c>
      <c r="Y166" s="6">
        <v>44719</v>
      </c>
      <c r="Z166" s="6">
        <v>45040</v>
      </c>
    </row>
    <row r="167" spans="1:27" x14ac:dyDescent="0.35">
      <c r="A167" s="7" t="s">
        <v>2566</v>
      </c>
      <c r="B167" s="4" t="s">
        <v>1085</v>
      </c>
      <c r="D167" s="4" t="s">
        <v>1086</v>
      </c>
      <c r="E167" s="4" t="s">
        <v>1087</v>
      </c>
      <c r="F167" s="4" t="s">
        <v>87</v>
      </c>
      <c r="H167" s="4" t="s">
        <v>1088</v>
      </c>
      <c r="J167" s="4" t="s">
        <v>105</v>
      </c>
      <c r="K167" s="4" t="s">
        <v>106</v>
      </c>
      <c r="L167" s="4" t="s">
        <v>119</v>
      </c>
      <c r="M167" s="4">
        <f>44.9/1000</f>
        <v>4.4899999999999995E-2</v>
      </c>
      <c r="N167" s="4" t="s">
        <v>120</v>
      </c>
      <c r="T167" s="4" t="s">
        <v>1089</v>
      </c>
      <c r="V167" s="4" t="s">
        <v>161</v>
      </c>
      <c r="Y167" s="6">
        <v>44720</v>
      </c>
      <c r="Z167" s="6">
        <v>45043</v>
      </c>
      <c r="AA167" s="6">
        <v>44733</v>
      </c>
    </row>
    <row r="168" spans="1:27" x14ac:dyDescent="0.35">
      <c r="A168" s="7" t="s">
        <v>1090</v>
      </c>
      <c r="B168" s="4" t="s">
        <v>1091</v>
      </c>
      <c r="D168" s="4" t="s">
        <v>1092</v>
      </c>
      <c r="E168" s="4" t="s">
        <v>358</v>
      </c>
      <c r="F168" s="4" t="s">
        <v>116</v>
      </c>
      <c r="H168" s="4" t="s">
        <v>1093</v>
      </c>
      <c r="J168" s="4" t="s">
        <v>105</v>
      </c>
      <c r="K168" s="4" t="s">
        <v>106</v>
      </c>
      <c r="L168" s="4" t="s">
        <v>119</v>
      </c>
      <c r="M168" s="4">
        <f>20.2/1000</f>
        <v>2.0199999999999999E-2</v>
      </c>
      <c r="N168" s="4" t="s">
        <v>120</v>
      </c>
      <c r="T168" s="4" t="s">
        <v>1094</v>
      </c>
      <c r="Y168" s="6">
        <v>44720</v>
      </c>
      <c r="Z168" s="6">
        <v>45043</v>
      </c>
      <c r="AA168" s="6">
        <v>44733</v>
      </c>
    </row>
    <row r="169" spans="1:27" x14ac:dyDescent="0.35">
      <c r="A169" s="7" t="s">
        <v>2567</v>
      </c>
      <c r="B169" s="4" t="s">
        <v>1095</v>
      </c>
      <c r="D169" s="4" t="s">
        <v>1096</v>
      </c>
      <c r="E169" s="4" t="s">
        <v>358</v>
      </c>
      <c r="F169" s="4" t="s">
        <v>116</v>
      </c>
      <c r="H169" s="4" t="s">
        <v>1097</v>
      </c>
      <c r="J169" s="4" t="s">
        <v>105</v>
      </c>
      <c r="K169" s="4" t="s">
        <v>106</v>
      </c>
      <c r="L169" s="4" t="s">
        <v>119</v>
      </c>
      <c r="M169" s="4">
        <f>31.7/1000</f>
        <v>3.1699999999999999E-2</v>
      </c>
      <c r="N169" s="4" t="s">
        <v>120</v>
      </c>
      <c r="T169" s="4" t="s">
        <v>1094</v>
      </c>
      <c r="U169" s="4" t="s">
        <v>684</v>
      </c>
      <c r="Y169" s="6">
        <v>44720</v>
      </c>
      <c r="Z169" s="6">
        <v>45043</v>
      </c>
      <c r="AA169" s="6">
        <v>44733</v>
      </c>
    </row>
    <row r="170" spans="1:27" x14ac:dyDescent="0.35">
      <c r="A170" s="7" t="s">
        <v>1098</v>
      </c>
      <c r="B170" s="4" t="s">
        <v>1099</v>
      </c>
      <c r="C170" s="4" t="s">
        <v>1100</v>
      </c>
      <c r="D170" s="4" t="s">
        <v>1101</v>
      </c>
      <c r="E170" s="4" t="s">
        <v>655</v>
      </c>
      <c r="F170" s="4" t="s">
        <v>130</v>
      </c>
      <c r="J170" s="4" t="s">
        <v>1004</v>
      </c>
      <c r="K170" s="4" t="s">
        <v>36</v>
      </c>
      <c r="N170" s="4" t="s">
        <v>60</v>
      </c>
      <c r="W170" s="4" t="s">
        <v>248</v>
      </c>
      <c r="Y170" s="6">
        <v>44720</v>
      </c>
      <c r="Z170" s="6"/>
    </row>
    <row r="171" spans="1:27" x14ac:dyDescent="0.35">
      <c r="A171" s="7" t="s">
        <v>1102</v>
      </c>
      <c r="B171" s="4" t="s">
        <v>1103</v>
      </c>
      <c r="D171" s="4" t="s">
        <v>1104</v>
      </c>
      <c r="E171" s="4" t="s">
        <v>1105</v>
      </c>
      <c r="F171" s="4" t="s">
        <v>130</v>
      </c>
      <c r="H171" s="4" t="s">
        <v>1106</v>
      </c>
      <c r="I171" s="4" t="s">
        <v>10</v>
      </c>
      <c r="J171" s="4" t="s">
        <v>1004</v>
      </c>
      <c r="K171" s="4" t="s">
        <v>36</v>
      </c>
      <c r="L171" s="4" t="s">
        <v>36</v>
      </c>
      <c r="M171" s="4">
        <f>19.72/1000</f>
        <v>1.9719999999999998E-2</v>
      </c>
      <c r="N171" s="4" t="s">
        <v>60</v>
      </c>
      <c r="T171" s="4" t="s">
        <v>1107</v>
      </c>
      <c r="U171" s="4" t="s">
        <v>1108</v>
      </c>
      <c r="V171" s="4" t="s">
        <v>1109</v>
      </c>
      <c r="Y171" s="6">
        <v>44720</v>
      </c>
      <c r="Z171" s="6">
        <v>45093</v>
      </c>
      <c r="AA171" s="6">
        <v>45093</v>
      </c>
    </row>
    <row r="172" spans="1:27" x14ac:dyDescent="0.35">
      <c r="A172" s="7" t="s">
        <v>1110</v>
      </c>
      <c r="B172" s="4" t="s">
        <v>1111</v>
      </c>
      <c r="D172" s="4" t="s">
        <v>1112</v>
      </c>
      <c r="J172" s="4" t="s">
        <v>105</v>
      </c>
      <c r="K172" s="4" t="s">
        <v>106</v>
      </c>
      <c r="X172" s="4" t="s">
        <v>181</v>
      </c>
      <c r="Y172" s="6">
        <v>44720</v>
      </c>
      <c r="Z172" s="6"/>
    </row>
    <row r="173" spans="1:27" x14ac:dyDescent="0.35">
      <c r="A173" s="7" t="s">
        <v>2568</v>
      </c>
      <c r="B173" s="4" t="s">
        <v>1113</v>
      </c>
      <c r="D173" s="4" t="s">
        <v>1112</v>
      </c>
      <c r="E173" s="4" t="s">
        <v>1114</v>
      </c>
      <c r="F173" s="4" t="s">
        <v>103</v>
      </c>
      <c r="G173" s="4">
        <v>2</v>
      </c>
      <c r="H173" s="4" t="s">
        <v>1115</v>
      </c>
      <c r="I173" s="4" t="s">
        <v>10</v>
      </c>
      <c r="J173" s="4" t="s">
        <v>546</v>
      </c>
      <c r="K173" s="4" t="s">
        <v>36</v>
      </c>
      <c r="L173" s="4" t="s">
        <v>36</v>
      </c>
      <c r="N173" s="4" t="s">
        <v>60</v>
      </c>
      <c r="T173" s="4" t="s">
        <v>1116</v>
      </c>
      <c r="U173" s="4" t="s">
        <v>1117</v>
      </c>
      <c r="Y173" s="6">
        <v>44720</v>
      </c>
      <c r="Z173" s="6">
        <v>45096</v>
      </c>
    </row>
    <row r="174" spans="1:27" x14ac:dyDescent="0.35">
      <c r="A174" s="7" t="s">
        <v>1118</v>
      </c>
      <c r="B174" s="4" t="s">
        <v>1119</v>
      </c>
      <c r="D174" s="4" t="s">
        <v>1120</v>
      </c>
      <c r="E174" s="4" t="s">
        <v>1121</v>
      </c>
      <c r="F174" s="4" t="s">
        <v>103</v>
      </c>
      <c r="H174" s="4" t="s">
        <v>1122</v>
      </c>
      <c r="J174" s="4" t="s">
        <v>158</v>
      </c>
      <c r="K174" s="4" t="s">
        <v>106</v>
      </c>
      <c r="L174" s="4" t="s">
        <v>159</v>
      </c>
      <c r="N174" s="4" t="s">
        <v>120</v>
      </c>
      <c r="V174" s="4" t="s">
        <v>1123</v>
      </c>
      <c r="W174" s="4" t="s">
        <v>248</v>
      </c>
      <c r="Y174" s="6">
        <v>44720</v>
      </c>
      <c r="Z174" s="6">
        <v>45043</v>
      </c>
      <c r="AA174" s="6">
        <v>45043</v>
      </c>
    </row>
    <row r="175" spans="1:27" x14ac:dyDescent="0.35">
      <c r="A175" s="7" t="s">
        <v>2569</v>
      </c>
      <c r="B175" s="4" t="s">
        <v>2447</v>
      </c>
      <c r="C175" s="4" t="s">
        <v>2479</v>
      </c>
      <c r="D175" s="4" t="s">
        <v>2478</v>
      </c>
      <c r="E175" s="4" t="s">
        <v>2480</v>
      </c>
      <c r="F175" s="4" t="s">
        <v>103</v>
      </c>
      <c r="G175" s="4">
        <v>1</v>
      </c>
      <c r="H175" s="4" t="s">
        <v>2481</v>
      </c>
      <c r="I175" s="4" t="s">
        <v>10</v>
      </c>
      <c r="K175" s="4" t="s">
        <v>106</v>
      </c>
      <c r="M175" s="4">
        <f>0.86/1000</f>
        <v>8.5999999999999998E-4</v>
      </c>
      <c r="N175" s="4" t="s">
        <v>60</v>
      </c>
      <c r="T175" s="4" t="s">
        <v>2482</v>
      </c>
      <c r="V175" s="4" t="s">
        <v>2483</v>
      </c>
      <c r="Y175" s="6"/>
      <c r="Z175" s="6">
        <v>45198</v>
      </c>
      <c r="AA175" s="6">
        <v>45198</v>
      </c>
    </row>
    <row r="176" spans="1:27" x14ac:dyDescent="0.35">
      <c r="A176" s="7" t="s">
        <v>1124</v>
      </c>
      <c r="B176" s="4" t="s">
        <v>1125</v>
      </c>
      <c r="D176" s="4" t="s">
        <v>1126</v>
      </c>
      <c r="E176" s="4" t="s">
        <v>1127</v>
      </c>
      <c r="F176" s="4" t="s">
        <v>103</v>
      </c>
      <c r="G176" s="4">
        <v>0.75</v>
      </c>
      <c r="H176" s="4" t="s">
        <v>1128</v>
      </c>
      <c r="I176" s="4" t="s">
        <v>10</v>
      </c>
      <c r="J176" s="4" t="s">
        <v>158</v>
      </c>
      <c r="K176" s="4" t="s">
        <v>106</v>
      </c>
      <c r="L176" s="4" t="s">
        <v>159</v>
      </c>
      <c r="N176" s="4" t="s">
        <v>120</v>
      </c>
      <c r="O176" s="4" t="s">
        <v>49</v>
      </c>
      <c r="T176" s="4" t="s">
        <v>1129</v>
      </c>
      <c r="U176" s="4" t="s">
        <v>1130</v>
      </c>
      <c r="V176" s="4" t="s">
        <v>1131</v>
      </c>
      <c r="W176" s="10"/>
      <c r="Y176" s="6">
        <v>44720</v>
      </c>
      <c r="Z176" s="6">
        <v>45043</v>
      </c>
    </row>
    <row r="177" spans="1:27" x14ac:dyDescent="0.35">
      <c r="A177" s="7" t="s">
        <v>1132</v>
      </c>
      <c r="B177" s="4" t="s">
        <v>1133</v>
      </c>
      <c r="D177" s="4" t="s">
        <v>1134</v>
      </c>
      <c r="F177" s="4" t="s">
        <v>178</v>
      </c>
      <c r="G177" s="4">
        <v>1.1000000000000001</v>
      </c>
      <c r="H177" s="4" t="s">
        <v>1135</v>
      </c>
      <c r="I177" s="4" t="s">
        <v>10</v>
      </c>
      <c r="J177" s="4" t="s">
        <v>180</v>
      </c>
      <c r="K177" s="4" t="s">
        <v>106</v>
      </c>
      <c r="L177" s="4" t="s">
        <v>1136</v>
      </c>
      <c r="M177" s="4">
        <f>0.3/1000</f>
        <v>2.9999999999999997E-4</v>
      </c>
      <c r="N177" s="4" t="s">
        <v>121</v>
      </c>
      <c r="O177" s="4" t="s">
        <v>60</v>
      </c>
      <c r="P177" s="4" t="s">
        <v>49</v>
      </c>
      <c r="Q177" s="4" t="s">
        <v>2415</v>
      </c>
      <c r="T177" s="4" t="s">
        <v>1137</v>
      </c>
      <c r="U177" s="4" t="s">
        <v>757</v>
      </c>
      <c r="V177" s="4" t="s">
        <v>1138</v>
      </c>
      <c r="Y177" s="6">
        <v>44720</v>
      </c>
      <c r="Z177" s="6">
        <v>45043</v>
      </c>
      <c r="AA177" s="6">
        <v>44733</v>
      </c>
    </row>
    <row r="178" spans="1:27" x14ac:dyDescent="0.35">
      <c r="A178" s="7" t="s">
        <v>1139</v>
      </c>
      <c r="B178" s="4" t="s">
        <v>1140</v>
      </c>
      <c r="D178" s="4" t="s">
        <v>1141</v>
      </c>
      <c r="E178" s="4" t="s">
        <v>1142</v>
      </c>
      <c r="F178" s="4" t="s">
        <v>33</v>
      </c>
      <c r="G178" s="4">
        <v>5</v>
      </c>
      <c r="H178" s="4" t="s">
        <v>1143</v>
      </c>
      <c r="K178" s="4" t="s">
        <v>36</v>
      </c>
      <c r="L178" s="4" t="s">
        <v>48</v>
      </c>
      <c r="M178" s="4">
        <f>21.61/1000</f>
        <v>2.1610000000000001E-2</v>
      </c>
      <c r="N178" s="4" t="s">
        <v>60</v>
      </c>
      <c r="O178" s="4" t="s">
        <v>38</v>
      </c>
      <c r="T178" s="4" t="s">
        <v>1144</v>
      </c>
      <c r="U178" s="4" t="s">
        <v>1145</v>
      </c>
      <c r="V178" s="4" t="s">
        <v>1146</v>
      </c>
      <c r="Y178" s="6">
        <v>44720</v>
      </c>
      <c r="Z178" s="6"/>
      <c r="AA178" s="6">
        <v>45096</v>
      </c>
    </row>
    <row r="179" spans="1:27" x14ac:dyDescent="0.35">
      <c r="A179" s="7" t="s">
        <v>2570</v>
      </c>
      <c r="B179" s="4" t="s">
        <v>2495</v>
      </c>
      <c r="D179" s="4" t="s">
        <v>2486</v>
      </c>
      <c r="F179" s="4" t="s">
        <v>130</v>
      </c>
      <c r="H179" s="4" t="s">
        <v>2489</v>
      </c>
      <c r="I179" s="4" t="s">
        <v>10</v>
      </c>
      <c r="J179" s="4" t="s">
        <v>158</v>
      </c>
      <c r="K179" s="4" t="s">
        <v>106</v>
      </c>
      <c r="L179" s="4" t="s">
        <v>119</v>
      </c>
      <c r="M179" s="4">
        <f>2.62/1000</f>
        <v>2.6199999999999999E-3</v>
      </c>
      <c r="N179" s="4" t="s">
        <v>120</v>
      </c>
      <c r="T179" s="4" t="s">
        <v>2488</v>
      </c>
      <c r="V179" s="4" t="s">
        <v>2487</v>
      </c>
      <c r="Y179" s="6">
        <v>45201</v>
      </c>
      <c r="Z179" s="6"/>
      <c r="AA179" s="6">
        <v>45201</v>
      </c>
    </row>
    <row r="180" spans="1:27" x14ac:dyDescent="0.35">
      <c r="A180" s="7" t="s">
        <v>1147</v>
      </c>
      <c r="B180" s="4" t="s">
        <v>1148</v>
      </c>
      <c r="D180" s="4" t="s">
        <v>1149</v>
      </c>
      <c r="E180" s="4" t="s">
        <v>1150</v>
      </c>
      <c r="F180" s="4" t="s">
        <v>87</v>
      </c>
      <c r="G180" s="4">
        <v>2</v>
      </c>
      <c r="H180" s="4" t="s">
        <v>1151</v>
      </c>
      <c r="I180" s="4" t="s">
        <v>171</v>
      </c>
      <c r="J180" s="4" t="s">
        <v>105</v>
      </c>
      <c r="K180" s="4" t="s">
        <v>106</v>
      </c>
      <c r="L180" s="4" t="s">
        <v>181</v>
      </c>
      <c r="M180" s="4">
        <f>0.0164/1000</f>
        <v>1.6400000000000002E-5</v>
      </c>
      <c r="N180" s="4" t="s">
        <v>341</v>
      </c>
      <c r="U180" s="4" t="s">
        <v>1152</v>
      </c>
      <c r="Y180" s="6">
        <v>44720</v>
      </c>
      <c r="Z180" s="6">
        <v>45043</v>
      </c>
      <c r="AA180" s="6">
        <v>44733</v>
      </c>
    </row>
    <row r="181" spans="1:27" x14ac:dyDescent="0.35">
      <c r="A181" s="7" t="s">
        <v>1153</v>
      </c>
      <c r="B181" s="4" t="s">
        <v>1154</v>
      </c>
      <c r="D181" s="4" t="s">
        <v>1155</v>
      </c>
      <c r="E181" s="4" t="s">
        <v>1156</v>
      </c>
      <c r="F181" s="4" t="s">
        <v>87</v>
      </c>
      <c r="G181" s="4">
        <v>1.5</v>
      </c>
      <c r="H181" s="4" t="s">
        <v>1157</v>
      </c>
      <c r="I181" s="4" t="s">
        <v>10</v>
      </c>
      <c r="J181" s="4" t="s">
        <v>1158</v>
      </c>
      <c r="K181" s="4" t="s">
        <v>36</v>
      </c>
      <c r="L181" s="4" t="s">
        <v>36</v>
      </c>
      <c r="M181" s="4">
        <f>0.07/1000</f>
        <v>7.0000000000000007E-5</v>
      </c>
      <c r="N181" s="4" t="s">
        <v>60</v>
      </c>
      <c r="T181" s="4" t="s">
        <v>1159</v>
      </c>
      <c r="U181" s="4" t="s">
        <v>1160</v>
      </c>
      <c r="Y181" s="6">
        <v>44720</v>
      </c>
      <c r="Z181" s="6">
        <v>45096</v>
      </c>
      <c r="AA181" s="6">
        <v>45096</v>
      </c>
    </row>
    <row r="182" spans="1:27" x14ac:dyDescent="0.35">
      <c r="A182" s="7" t="s">
        <v>1161</v>
      </c>
      <c r="B182" s="4" t="s">
        <v>1162</v>
      </c>
      <c r="D182" s="4" t="s">
        <v>1163</v>
      </c>
      <c r="E182" s="4" t="s">
        <v>1164</v>
      </c>
      <c r="F182" s="4" t="s">
        <v>103</v>
      </c>
      <c r="G182" s="4">
        <v>1</v>
      </c>
      <c r="H182" s="4" t="s">
        <v>1165</v>
      </c>
      <c r="I182" s="4" t="s">
        <v>10</v>
      </c>
      <c r="J182" s="4" t="s">
        <v>105</v>
      </c>
      <c r="K182" s="4" t="s">
        <v>106</v>
      </c>
      <c r="L182" s="4" t="s">
        <v>181</v>
      </c>
      <c r="M182" s="4">
        <f>0.2/1000</f>
        <v>2.0000000000000001E-4</v>
      </c>
      <c r="N182" s="4" t="s">
        <v>2415</v>
      </c>
      <c r="O182" s="4" t="s">
        <v>60</v>
      </c>
      <c r="P182" s="4" t="s">
        <v>121</v>
      </c>
      <c r="Q182" s="4" t="s">
        <v>49</v>
      </c>
      <c r="T182" s="4" t="s">
        <v>1166</v>
      </c>
      <c r="U182" s="4" t="s">
        <v>1167</v>
      </c>
      <c r="V182" s="4" t="s">
        <v>1168</v>
      </c>
      <c r="Y182" s="6">
        <v>44720</v>
      </c>
      <c r="Z182" s="6">
        <v>45043</v>
      </c>
      <c r="AA182" s="6">
        <v>44733</v>
      </c>
    </row>
    <row r="183" spans="1:27" x14ac:dyDescent="0.35">
      <c r="A183" s="7" t="s">
        <v>1169</v>
      </c>
      <c r="B183" s="4" t="s">
        <v>1170</v>
      </c>
      <c r="D183" s="4" t="s">
        <v>1171</v>
      </c>
      <c r="E183" s="4" t="s">
        <v>1172</v>
      </c>
      <c r="F183" s="4" t="s">
        <v>33</v>
      </c>
      <c r="G183" s="4">
        <v>12</v>
      </c>
      <c r="H183" s="4" t="s">
        <v>1173</v>
      </c>
      <c r="J183" s="4" t="s">
        <v>675</v>
      </c>
      <c r="K183" s="4" t="s">
        <v>36</v>
      </c>
      <c r="L183" s="4" t="s">
        <v>36</v>
      </c>
      <c r="M183" s="4">
        <f>32.27/1000</f>
        <v>3.227E-2</v>
      </c>
      <c r="N183" s="4" t="s">
        <v>60</v>
      </c>
      <c r="T183" s="4" t="s">
        <v>1174</v>
      </c>
      <c r="V183" s="4" t="s">
        <v>1175</v>
      </c>
      <c r="Y183" s="6">
        <v>44720</v>
      </c>
      <c r="Z183" s="6"/>
      <c r="AA183" s="6">
        <v>45096</v>
      </c>
    </row>
    <row r="184" spans="1:27" x14ac:dyDescent="0.35">
      <c r="A184" s="7" t="s">
        <v>1176</v>
      </c>
      <c r="B184" s="4" t="s">
        <v>1177</v>
      </c>
      <c r="D184" s="4" t="s">
        <v>1178</v>
      </c>
      <c r="E184" s="4" t="s">
        <v>1179</v>
      </c>
      <c r="F184" s="4" t="s">
        <v>103</v>
      </c>
      <c r="G184" s="4">
        <v>2.5</v>
      </c>
      <c r="H184" s="4" t="s">
        <v>1180</v>
      </c>
      <c r="I184" s="4" t="s">
        <v>10</v>
      </c>
      <c r="J184" s="4" t="s">
        <v>105</v>
      </c>
      <c r="K184" s="4" t="s">
        <v>106</v>
      </c>
      <c r="L184" s="4" t="s">
        <v>1051</v>
      </c>
      <c r="M184" s="4">
        <f>9.83/1000</f>
        <v>9.8300000000000002E-3</v>
      </c>
      <c r="N184" s="4" t="s">
        <v>108</v>
      </c>
      <c r="O184" s="4" t="s">
        <v>49</v>
      </c>
      <c r="T184" s="4" t="s">
        <v>1181</v>
      </c>
      <c r="U184" s="4" t="s">
        <v>1182</v>
      </c>
      <c r="Y184" s="6">
        <v>44720</v>
      </c>
      <c r="Z184" s="6">
        <v>45043</v>
      </c>
      <c r="AA184" s="6">
        <v>44733</v>
      </c>
    </row>
    <row r="185" spans="1:27" x14ac:dyDescent="0.35">
      <c r="A185" s="7" t="s">
        <v>1183</v>
      </c>
      <c r="B185" s="4" t="s">
        <v>1184</v>
      </c>
      <c r="D185" s="4" t="s">
        <v>1185</v>
      </c>
      <c r="E185" s="4" t="s">
        <v>2420</v>
      </c>
      <c r="F185" s="4" t="s">
        <v>87</v>
      </c>
      <c r="G185" s="4">
        <v>2</v>
      </c>
      <c r="J185" s="4" t="s">
        <v>105</v>
      </c>
      <c r="K185" s="4" t="s">
        <v>106</v>
      </c>
      <c r="L185" s="4" t="s">
        <v>107</v>
      </c>
      <c r="N185" s="4" t="s">
        <v>108</v>
      </c>
      <c r="T185" s="4" t="s">
        <v>1186</v>
      </c>
      <c r="U185" s="4" t="s">
        <v>1187</v>
      </c>
      <c r="X185" s="4" t="s">
        <v>199</v>
      </c>
      <c r="Y185" s="6">
        <v>44720</v>
      </c>
      <c r="Z185" s="6"/>
    </row>
    <row r="186" spans="1:27" x14ac:dyDescent="0.35">
      <c r="A186" s="7" t="s">
        <v>1188</v>
      </c>
      <c r="B186" s="4" t="s">
        <v>1189</v>
      </c>
      <c r="D186" s="4" t="s">
        <v>1190</v>
      </c>
      <c r="J186" s="4" t="s">
        <v>180</v>
      </c>
      <c r="K186" s="4" t="s">
        <v>106</v>
      </c>
      <c r="V186" s="4" t="s">
        <v>2421</v>
      </c>
      <c r="X186" s="4" t="s">
        <v>181</v>
      </c>
      <c r="Y186" s="6">
        <v>44720</v>
      </c>
      <c r="Z186" s="6"/>
      <c r="AA186" s="6">
        <v>44733</v>
      </c>
    </row>
    <row r="187" spans="1:27" x14ac:dyDescent="0.35">
      <c r="A187" s="7" t="s">
        <v>2571</v>
      </c>
      <c r="B187" s="4" t="s">
        <v>1191</v>
      </c>
      <c r="D187" s="4" t="s">
        <v>1192</v>
      </c>
      <c r="E187" s="4" t="s">
        <v>2422</v>
      </c>
      <c r="J187" s="4" t="s">
        <v>105</v>
      </c>
      <c r="K187" s="4" t="s">
        <v>106</v>
      </c>
      <c r="L187" s="4" t="s">
        <v>181</v>
      </c>
      <c r="N187" s="4" t="s">
        <v>341</v>
      </c>
      <c r="T187" s="4" t="s">
        <v>140</v>
      </c>
      <c r="U187" s="4" t="s">
        <v>471</v>
      </c>
      <c r="V187" s="4" t="s">
        <v>1193</v>
      </c>
      <c r="X187" s="4" t="s">
        <v>199</v>
      </c>
      <c r="Y187" s="6">
        <v>44720</v>
      </c>
      <c r="Z187" s="6"/>
    </row>
    <row r="188" spans="1:27" x14ac:dyDescent="0.35">
      <c r="A188" s="7" t="s">
        <v>1194</v>
      </c>
      <c r="B188" s="4" t="s">
        <v>1195</v>
      </c>
      <c r="D188" s="4" t="s">
        <v>1196</v>
      </c>
      <c r="E188" s="4" t="s">
        <v>1197</v>
      </c>
      <c r="F188" s="4" t="s">
        <v>103</v>
      </c>
      <c r="G188" s="4">
        <v>0.8</v>
      </c>
      <c r="H188" s="4" t="s">
        <v>1198</v>
      </c>
      <c r="J188" s="4" t="s">
        <v>1199</v>
      </c>
      <c r="K188" s="4" t="s">
        <v>36</v>
      </c>
      <c r="L188" s="4" t="s">
        <v>36</v>
      </c>
      <c r="M188" s="4">
        <f>79.41/1000</f>
        <v>7.9409999999999994E-2</v>
      </c>
      <c r="N188" s="4" t="s">
        <v>60</v>
      </c>
      <c r="O188" s="4" t="s">
        <v>49</v>
      </c>
      <c r="T188" s="4" t="s">
        <v>1200</v>
      </c>
      <c r="U188" s="4" t="s">
        <v>1201</v>
      </c>
      <c r="V188" s="4" t="s">
        <v>1202</v>
      </c>
      <c r="Y188" s="6">
        <v>44720</v>
      </c>
      <c r="Z188" s="6">
        <v>45096</v>
      </c>
      <c r="AA188" s="6">
        <v>45096</v>
      </c>
    </row>
    <row r="189" spans="1:27" x14ac:dyDescent="0.35">
      <c r="A189" s="7" t="s">
        <v>1203</v>
      </c>
      <c r="B189" s="4" t="s">
        <v>1204</v>
      </c>
      <c r="D189" s="4" t="s">
        <v>1205</v>
      </c>
      <c r="E189" s="4" t="s">
        <v>1056</v>
      </c>
      <c r="F189" s="4" t="s">
        <v>103</v>
      </c>
      <c r="G189" s="4">
        <v>1</v>
      </c>
      <c r="H189" s="4" t="s">
        <v>1206</v>
      </c>
      <c r="I189" s="4" t="s">
        <v>10</v>
      </c>
      <c r="J189" s="4" t="s">
        <v>105</v>
      </c>
      <c r="K189" s="4" t="s">
        <v>200</v>
      </c>
      <c r="L189" s="4" t="s">
        <v>1207</v>
      </c>
      <c r="M189" s="4">
        <f>42.79/1000</f>
        <v>4.2790000000000002E-2</v>
      </c>
      <c r="N189" s="4" t="s">
        <v>49</v>
      </c>
      <c r="T189" s="4" t="s">
        <v>1208</v>
      </c>
      <c r="U189" s="4" t="s">
        <v>1209</v>
      </c>
      <c r="V189" s="4" t="s">
        <v>1210</v>
      </c>
      <c r="Y189" s="6">
        <v>44720</v>
      </c>
      <c r="Z189" s="6">
        <v>45043</v>
      </c>
      <c r="AA189" s="6">
        <v>45043</v>
      </c>
    </row>
    <row r="190" spans="1:27" x14ac:dyDescent="0.35">
      <c r="A190" s="7" t="s">
        <v>1211</v>
      </c>
      <c r="B190" s="4" t="s">
        <v>1212</v>
      </c>
      <c r="C190" s="4" t="s">
        <v>1213</v>
      </c>
      <c r="D190" s="4" t="s">
        <v>1214</v>
      </c>
      <c r="E190" s="4" t="s">
        <v>1215</v>
      </c>
      <c r="F190" s="4" t="s">
        <v>103</v>
      </c>
      <c r="G190" s="4">
        <v>1.2</v>
      </c>
      <c r="H190" s="4" t="s">
        <v>1216</v>
      </c>
      <c r="I190" s="4" t="s">
        <v>10</v>
      </c>
      <c r="J190" s="4" t="s">
        <v>158</v>
      </c>
      <c r="K190" s="4" t="s">
        <v>106</v>
      </c>
      <c r="L190" s="4" t="s">
        <v>1217</v>
      </c>
      <c r="M190" s="4">
        <f>0.21/1000</f>
        <v>2.0999999999999998E-4</v>
      </c>
      <c r="N190" s="4" t="s">
        <v>120</v>
      </c>
      <c r="O190" s="4" t="s">
        <v>2415</v>
      </c>
      <c r="P190" s="4" t="s">
        <v>49</v>
      </c>
      <c r="Q190" s="4" t="s">
        <v>121</v>
      </c>
      <c r="S190" s="4" t="s">
        <v>1218</v>
      </c>
      <c r="T190" s="4" t="s">
        <v>1219</v>
      </c>
      <c r="U190" s="4" t="s">
        <v>1220</v>
      </c>
      <c r="Y190" s="6">
        <v>44720</v>
      </c>
      <c r="Z190" s="6">
        <v>45043</v>
      </c>
      <c r="AA190" s="6">
        <v>44733</v>
      </c>
    </row>
    <row r="191" spans="1:27" x14ac:dyDescent="0.35">
      <c r="A191" s="7" t="s">
        <v>1221</v>
      </c>
      <c r="B191" s="4" t="s">
        <v>1222</v>
      </c>
      <c r="D191" s="4" t="s">
        <v>1223</v>
      </c>
      <c r="E191" s="4" t="s">
        <v>1044</v>
      </c>
      <c r="J191" s="4" t="s">
        <v>132</v>
      </c>
      <c r="K191" s="4" t="s">
        <v>36</v>
      </c>
      <c r="L191" s="4" t="s">
        <v>36</v>
      </c>
      <c r="N191" s="4" t="s">
        <v>60</v>
      </c>
      <c r="T191" s="4" t="s">
        <v>738</v>
      </c>
      <c r="V191" s="10" t="s">
        <v>1224</v>
      </c>
      <c r="W191" s="10"/>
      <c r="X191" s="4" t="s">
        <v>199</v>
      </c>
      <c r="Y191" s="6">
        <v>44720</v>
      </c>
      <c r="Z191" s="6"/>
    </row>
    <row r="192" spans="1:27" x14ac:dyDescent="0.35">
      <c r="A192" s="7" t="s">
        <v>2572</v>
      </c>
      <c r="B192" s="4" t="s">
        <v>1225</v>
      </c>
      <c r="D192" s="4" t="s">
        <v>1226</v>
      </c>
      <c r="F192" s="4" t="s">
        <v>116</v>
      </c>
      <c r="G192" s="4">
        <v>15</v>
      </c>
      <c r="H192" s="4" t="s">
        <v>1227</v>
      </c>
      <c r="I192" s="4" t="s">
        <v>10</v>
      </c>
      <c r="J192" s="4" t="s">
        <v>675</v>
      </c>
      <c r="K192" s="4" t="s">
        <v>106</v>
      </c>
      <c r="L192" s="4" t="s">
        <v>181</v>
      </c>
      <c r="M192" s="4">
        <f>6767/1000</f>
        <v>6.7670000000000003</v>
      </c>
      <c r="N192" s="4" t="s">
        <v>2436</v>
      </c>
      <c r="O192" s="4" t="s">
        <v>49</v>
      </c>
      <c r="T192" s="4" t="s">
        <v>2437</v>
      </c>
      <c r="U192" s="4" t="s">
        <v>2439</v>
      </c>
      <c r="V192" s="4" t="s">
        <v>1229</v>
      </c>
      <c r="W192" s="4" t="s">
        <v>2438</v>
      </c>
      <c r="Y192" s="6">
        <v>44720</v>
      </c>
      <c r="Z192" s="6"/>
      <c r="AA192" s="6">
        <v>44733</v>
      </c>
    </row>
    <row r="193" spans="1:27" x14ac:dyDescent="0.35">
      <c r="A193" s="7" t="s">
        <v>1230</v>
      </c>
      <c r="B193" s="4" t="s">
        <v>1231</v>
      </c>
      <c r="D193" s="4" t="s">
        <v>1232</v>
      </c>
      <c r="F193" s="4" t="s">
        <v>1233</v>
      </c>
      <c r="G193" s="4">
        <v>1</v>
      </c>
      <c r="H193" s="4" t="s">
        <v>1234</v>
      </c>
      <c r="J193" s="4" t="s">
        <v>105</v>
      </c>
      <c r="K193" s="4" t="s">
        <v>106</v>
      </c>
      <c r="L193" s="4" t="s">
        <v>1235</v>
      </c>
      <c r="M193" s="4">
        <f>0.1/1000</f>
        <v>1E-4</v>
      </c>
      <c r="N193" s="4" t="s">
        <v>121</v>
      </c>
      <c r="T193" s="4" t="s">
        <v>1236</v>
      </c>
      <c r="U193" s="4" t="s">
        <v>1237</v>
      </c>
      <c r="V193" s="4" t="s">
        <v>1238</v>
      </c>
      <c r="W193" s="4" t="s">
        <v>1239</v>
      </c>
      <c r="Y193" s="6">
        <v>44720</v>
      </c>
      <c r="Z193" s="6">
        <v>45043</v>
      </c>
      <c r="AA193" s="6">
        <v>44733</v>
      </c>
    </row>
    <row r="194" spans="1:27" x14ac:dyDescent="0.35">
      <c r="A194" s="7" t="s">
        <v>1240</v>
      </c>
      <c r="B194" s="4" t="s">
        <v>1241</v>
      </c>
      <c r="D194" s="4" t="s">
        <v>1242</v>
      </c>
      <c r="F194" s="4" t="s">
        <v>1233</v>
      </c>
      <c r="G194" s="4">
        <v>0.6</v>
      </c>
      <c r="H194" s="4" t="s">
        <v>1243</v>
      </c>
      <c r="I194" s="4" t="s">
        <v>10</v>
      </c>
      <c r="J194" s="4" t="s">
        <v>105</v>
      </c>
      <c r="K194" s="4" t="s">
        <v>106</v>
      </c>
      <c r="L194" s="4" t="s">
        <v>1235</v>
      </c>
      <c r="M194" s="4">
        <f>0.02/1000</f>
        <v>2.0000000000000002E-5</v>
      </c>
      <c r="N194" s="4" t="s">
        <v>121</v>
      </c>
      <c r="O194" s="4" t="s">
        <v>49</v>
      </c>
      <c r="P194" s="4" t="s">
        <v>60</v>
      </c>
      <c r="Q194" s="4" t="s">
        <v>2415</v>
      </c>
      <c r="T194" s="4" t="s">
        <v>1244</v>
      </c>
      <c r="U194" s="4" t="s">
        <v>1245</v>
      </c>
      <c r="V194" s="4" t="s">
        <v>1246</v>
      </c>
      <c r="Y194" s="6">
        <v>44720</v>
      </c>
      <c r="Z194" s="6">
        <v>45043</v>
      </c>
      <c r="AA194" s="6">
        <v>44733</v>
      </c>
    </row>
    <row r="195" spans="1:27" x14ac:dyDescent="0.35">
      <c r="A195" s="7" t="s">
        <v>1247</v>
      </c>
      <c r="B195" s="4" t="s">
        <v>1248</v>
      </c>
      <c r="D195" s="4" t="s">
        <v>1249</v>
      </c>
      <c r="F195" s="4" t="s">
        <v>1233</v>
      </c>
      <c r="G195" s="4">
        <v>0.15</v>
      </c>
      <c r="H195" s="4" t="s">
        <v>1250</v>
      </c>
      <c r="J195" s="4" t="s">
        <v>105</v>
      </c>
      <c r="K195" s="4" t="s">
        <v>106</v>
      </c>
      <c r="L195" s="4" t="s">
        <v>1235</v>
      </c>
      <c r="M195" s="4">
        <f>0.2405/1000</f>
        <v>2.4049999999999999E-4</v>
      </c>
      <c r="N195" s="4" t="s">
        <v>121</v>
      </c>
      <c r="O195" s="4" t="s">
        <v>49</v>
      </c>
      <c r="P195" s="4" t="s">
        <v>60</v>
      </c>
      <c r="T195" s="4" t="s">
        <v>1251</v>
      </c>
      <c r="U195" s="4" t="s">
        <v>1245</v>
      </c>
      <c r="V195" s="4" t="s">
        <v>1238</v>
      </c>
      <c r="Y195" s="6">
        <v>44720</v>
      </c>
      <c r="Z195" s="6">
        <v>45043</v>
      </c>
      <c r="AA195" s="6">
        <v>44733</v>
      </c>
    </row>
    <row r="196" spans="1:27" x14ac:dyDescent="0.35">
      <c r="A196" s="7" t="s">
        <v>1252</v>
      </c>
      <c r="B196" s="4" t="s">
        <v>1253</v>
      </c>
      <c r="D196" s="4" t="s">
        <v>1254</v>
      </c>
      <c r="F196" s="4" t="s">
        <v>1233</v>
      </c>
      <c r="G196" s="4">
        <v>0.35</v>
      </c>
      <c r="H196" s="4" t="s">
        <v>1255</v>
      </c>
      <c r="J196" s="4" t="s">
        <v>105</v>
      </c>
      <c r="K196" s="4" t="s">
        <v>106</v>
      </c>
      <c r="L196" s="4" t="s">
        <v>1235</v>
      </c>
      <c r="M196" s="4">
        <f>0.1/1000</f>
        <v>1E-4</v>
      </c>
      <c r="N196" s="4" t="s">
        <v>121</v>
      </c>
      <c r="O196" s="4" t="s">
        <v>49</v>
      </c>
      <c r="P196" s="4" t="s">
        <v>60</v>
      </c>
      <c r="T196" s="4" t="s">
        <v>1256</v>
      </c>
      <c r="U196" s="4" t="s">
        <v>1257</v>
      </c>
      <c r="V196" s="4" t="s">
        <v>1258</v>
      </c>
      <c r="Y196" s="6">
        <v>44720</v>
      </c>
      <c r="Z196" s="6">
        <v>45043</v>
      </c>
      <c r="AA196" s="6">
        <v>44733</v>
      </c>
    </row>
    <row r="197" spans="1:27" s="3" customFormat="1" x14ac:dyDescent="0.35">
      <c r="A197" s="7" t="s">
        <v>2573</v>
      </c>
      <c r="B197" s="4" t="s">
        <v>2458</v>
      </c>
      <c r="C197" s="4" t="s">
        <v>428</v>
      </c>
      <c r="D197" s="4" t="s">
        <v>429</v>
      </c>
      <c r="E197" s="4" t="s">
        <v>430</v>
      </c>
      <c r="F197" s="4"/>
      <c r="G197" s="4"/>
      <c r="H197" s="4"/>
      <c r="I197" s="4"/>
      <c r="J197" s="4" t="s">
        <v>272</v>
      </c>
      <c r="K197" s="4" t="s">
        <v>106</v>
      </c>
      <c r="L197" s="4"/>
      <c r="M197" s="4"/>
      <c r="N197" s="4"/>
      <c r="O197" s="4"/>
      <c r="P197" s="4"/>
      <c r="Q197" s="4"/>
      <c r="R197" s="4"/>
      <c r="S197" s="4"/>
      <c r="T197" s="4"/>
      <c r="U197" s="4"/>
      <c r="V197" s="4"/>
      <c r="W197" s="4"/>
      <c r="X197" s="4" t="s">
        <v>181</v>
      </c>
      <c r="Y197" s="4"/>
      <c r="Z197" s="4"/>
      <c r="AA197" s="4"/>
    </row>
    <row r="198" spans="1:27" x14ac:dyDescent="0.35">
      <c r="A198" s="7" t="s">
        <v>1259</v>
      </c>
      <c r="B198" s="4" t="s">
        <v>1260</v>
      </c>
      <c r="D198" s="4" t="s">
        <v>1261</v>
      </c>
      <c r="E198" s="4" t="s">
        <v>1262</v>
      </c>
      <c r="F198" s="4" t="s">
        <v>130</v>
      </c>
      <c r="H198" s="4" t="s">
        <v>1263</v>
      </c>
      <c r="J198" s="4" t="s">
        <v>447</v>
      </c>
      <c r="K198" s="4" t="s">
        <v>106</v>
      </c>
      <c r="L198" s="4" t="s">
        <v>1264</v>
      </c>
      <c r="M198" s="4">
        <f>25.41/1000</f>
        <v>2.5409999999999999E-2</v>
      </c>
      <c r="N198" s="4" t="s">
        <v>108</v>
      </c>
      <c r="O198" s="4" t="s">
        <v>38</v>
      </c>
      <c r="T198" s="4" t="s">
        <v>89</v>
      </c>
      <c r="Y198" s="6">
        <v>44720</v>
      </c>
      <c r="Z198" s="6">
        <v>45096</v>
      </c>
      <c r="AA198" s="6">
        <v>45096</v>
      </c>
    </row>
    <row r="199" spans="1:27" x14ac:dyDescent="0.35">
      <c r="A199" s="7" t="s">
        <v>1265</v>
      </c>
      <c r="B199" s="4" t="s">
        <v>1266</v>
      </c>
      <c r="E199" s="4" t="s">
        <v>1267</v>
      </c>
      <c r="J199" s="4" t="s">
        <v>105</v>
      </c>
      <c r="K199" s="4" t="s">
        <v>200</v>
      </c>
      <c r="X199" s="4" t="s">
        <v>181</v>
      </c>
      <c r="Y199" s="6">
        <v>44720</v>
      </c>
      <c r="Z199" s="6"/>
    </row>
    <row r="200" spans="1:27" x14ac:dyDescent="0.35">
      <c r="A200" s="7" t="s">
        <v>2574</v>
      </c>
      <c r="B200" s="4" t="s">
        <v>1268</v>
      </c>
      <c r="D200" s="4" t="s">
        <v>1269</v>
      </c>
      <c r="E200" s="4" t="s">
        <v>1270</v>
      </c>
      <c r="F200" s="4" t="s">
        <v>116</v>
      </c>
      <c r="J200" s="4" t="s">
        <v>447</v>
      </c>
      <c r="K200" s="4" t="s">
        <v>106</v>
      </c>
      <c r="L200" s="4" t="s">
        <v>1271</v>
      </c>
      <c r="M200" s="4">
        <f>48.2/1000</f>
        <v>4.82E-2</v>
      </c>
      <c r="N200" s="4" t="s">
        <v>49</v>
      </c>
      <c r="T200" s="4" t="s">
        <v>27</v>
      </c>
      <c r="U200" s="4" t="s">
        <v>1272</v>
      </c>
      <c r="Y200" s="6">
        <v>44720</v>
      </c>
      <c r="Z200" s="6">
        <v>45048</v>
      </c>
      <c r="AA200" s="6">
        <v>44733</v>
      </c>
    </row>
    <row r="201" spans="1:27" x14ac:dyDescent="0.35">
      <c r="A201" s="7" t="s">
        <v>1273</v>
      </c>
      <c r="B201" s="4" t="s">
        <v>1274</v>
      </c>
      <c r="C201" s="4" t="s">
        <v>1275</v>
      </c>
      <c r="D201" s="4" t="s">
        <v>1276</v>
      </c>
      <c r="J201" s="4" t="s">
        <v>853</v>
      </c>
      <c r="K201" s="4" t="s">
        <v>106</v>
      </c>
      <c r="X201" s="4" t="s">
        <v>181</v>
      </c>
      <c r="Y201" s="6">
        <v>44720</v>
      </c>
      <c r="Z201" s="6"/>
    </row>
    <row r="202" spans="1:27" x14ac:dyDescent="0.35">
      <c r="A202" s="7" t="s">
        <v>1277</v>
      </c>
      <c r="B202" s="4" t="s">
        <v>1278</v>
      </c>
      <c r="D202" s="4" t="s">
        <v>1279</v>
      </c>
      <c r="E202" s="4" t="s">
        <v>1280</v>
      </c>
      <c r="F202" s="4" t="s">
        <v>87</v>
      </c>
      <c r="G202" s="4">
        <v>2</v>
      </c>
      <c r="H202" s="4" t="s">
        <v>1281</v>
      </c>
      <c r="J202" s="4" t="s">
        <v>675</v>
      </c>
      <c r="K202" s="4" t="s">
        <v>36</v>
      </c>
      <c r="L202" s="4" t="s">
        <v>36</v>
      </c>
      <c r="M202" s="4">
        <f>11.14/1000</f>
        <v>1.1140000000000001E-2</v>
      </c>
      <c r="N202" s="4" t="s">
        <v>60</v>
      </c>
      <c r="T202" s="4" t="s">
        <v>1282</v>
      </c>
      <c r="U202" s="4" t="s">
        <v>1283</v>
      </c>
      <c r="V202" s="4" t="s">
        <v>1284</v>
      </c>
      <c r="Y202" s="6">
        <v>44720</v>
      </c>
      <c r="Z202" s="6"/>
      <c r="AA202" s="6">
        <v>45096</v>
      </c>
    </row>
    <row r="203" spans="1:27" x14ac:dyDescent="0.35">
      <c r="A203" s="7" t="s">
        <v>1285</v>
      </c>
      <c r="B203" s="4" t="s">
        <v>1286</v>
      </c>
      <c r="D203" s="4" t="s">
        <v>1287</v>
      </c>
      <c r="E203" s="4" t="s">
        <v>1288</v>
      </c>
      <c r="F203" s="4" t="s">
        <v>116</v>
      </c>
      <c r="H203" s="4" t="s">
        <v>1289</v>
      </c>
      <c r="J203" s="4" t="s">
        <v>360</v>
      </c>
      <c r="K203" s="4" t="s">
        <v>106</v>
      </c>
      <c r="L203" s="4" t="s">
        <v>119</v>
      </c>
      <c r="M203" s="4">
        <f>6.4/1000</f>
        <v>6.4000000000000003E-3</v>
      </c>
      <c r="N203" s="4" t="s">
        <v>120</v>
      </c>
      <c r="T203" s="4" t="s">
        <v>1290</v>
      </c>
      <c r="V203" s="4" t="s">
        <v>1291</v>
      </c>
      <c r="Y203" s="6">
        <v>44720</v>
      </c>
      <c r="Z203" s="6">
        <v>45048</v>
      </c>
      <c r="AA203" s="6">
        <v>44733</v>
      </c>
    </row>
    <row r="204" spans="1:27" x14ac:dyDescent="0.35">
      <c r="A204" s="7" t="s">
        <v>1292</v>
      </c>
      <c r="B204" s="4" t="s">
        <v>1293</v>
      </c>
      <c r="D204" s="4" t="s">
        <v>1294</v>
      </c>
      <c r="E204" s="4" t="s">
        <v>1295</v>
      </c>
      <c r="F204" s="4" t="s">
        <v>103</v>
      </c>
      <c r="J204" s="4" t="s">
        <v>447</v>
      </c>
      <c r="K204" s="4" t="s">
        <v>106</v>
      </c>
      <c r="L204" s="4" t="s">
        <v>181</v>
      </c>
      <c r="M204" s="4">
        <f>40.3/1000</f>
        <v>4.0299999999999996E-2</v>
      </c>
      <c r="N204" s="4" t="s">
        <v>341</v>
      </c>
      <c r="V204" s="4" t="s">
        <v>1296</v>
      </c>
      <c r="W204" s="4" t="s">
        <v>1297</v>
      </c>
      <c r="Y204" s="6">
        <v>44720</v>
      </c>
      <c r="Z204" s="6">
        <v>45048</v>
      </c>
      <c r="AA204" s="6">
        <v>44733</v>
      </c>
    </row>
    <row r="205" spans="1:27" x14ac:dyDescent="0.35">
      <c r="A205" s="7" t="s">
        <v>1298</v>
      </c>
      <c r="B205" s="4" t="s">
        <v>1299</v>
      </c>
      <c r="D205" s="4" t="s">
        <v>1300</v>
      </c>
      <c r="E205" s="4" t="s">
        <v>1295</v>
      </c>
      <c r="F205" s="4" t="s">
        <v>103</v>
      </c>
      <c r="J205" s="4" t="s">
        <v>447</v>
      </c>
      <c r="K205" s="4" t="s">
        <v>106</v>
      </c>
      <c r="L205" s="4" t="s">
        <v>181</v>
      </c>
      <c r="M205" s="4">
        <f>93.5/1000</f>
        <v>9.35E-2</v>
      </c>
      <c r="N205" s="4" t="s">
        <v>341</v>
      </c>
      <c r="V205" s="4" t="s">
        <v>1296</v>
      </c>
      <c r="W205" s="4" t="s">
        <v>1297</v>
      </c>
      <c r="Y205" s="6">
        <v>44720</v>
      </c>
      <c r="Z205" s="6">
        <v>45048</v>
      </c>
      <c r="AA205" s="6">
        <v>44733</v>
      </c>
    </row>
    <row r="206" spans="1:27" x14ac:dyDescent="0.35">
      <c r="A206" s="7" t="s">
        <v>1301</v>
      </c>
      <c r="B206" s="4" t="s">
        <v>1302</v>
      </c>
      <c r="D206" s="4" t="s">
        <v>1303</v>
      </c>
      <c r="E206" s="4" t="s">
        <v>1304</v>
      </c>
      <c r="F206" s="4" t="s">
        <v>33</v>
      </c>
      <c r="G206" s="4">
        <v>7</v>
      </c>
      <c r="H206" s="4" t="s">
        <v>1305</v>
      </c>
      <c r="J206" s="4" t="s">
        <v>132</v>
      </c>
      <c r="K206" s="4" t="s">
        <v>36</v>
      </c>
      <c r="L206" s="4" t="s">
        <v>36</v>
      </c>
      <c r="M206" s="4">
        <f>516.27/1000</f>
        <v>0.51627000000000001</v>
      </c>
      <c r="N206" s="4" t="s">
        <v>60</v>
      </c>
      <c r="T206" s="4" t="s">
        <v>27</v>
      </c>
      <c r="U206" s="4" t="s">
        <v>1306</v>
      </c>
      <c r="Y206" s="6">
        <v>44720</v>
      </c>
      <c r="Z206" s="6">
        <v>45096</v>
      </c>
      <c r="AA206" s="6">
        <v>45096</v>
      </c>
    </row>
    <row r="207" spans="1:27" x14ac:dyDescent="0.35">
      <c r="A207" s="7" t="s">
        <v>2575</v>
      </c>
      <c r="B207" s="4" t="s">
        <v>1307</v>
      </c>
      <c r="D207" s="4" t="s">
        <v>1308</v>
      </c>
      <c r="E207" s="4" t="s">
        <v>1309</v>
      </c>
      <c r="F207" s="4" t="s">
        <v>87</v>
      </c>
      <c r="G207" s="4">
        <v>2</v>
      </c>
      <c r="J207" s="4" t="s">
        <v>105</v>
      </c>
      <c r="K207" s="4" t="s">
        <v>106</v>
      </c>
      <c r="L207" s="4" t="s">
        <v>119</v>
      </c>
      <c r="M207" s="4">
        <f>1.12/1000</f>
        <v>1.1200000000000001E-3</v>
      </c>
      <c r="N207" s="4" t="s">
        <v>120</v>
      </c>
      <c r="T207" s="4" t="s">
        <v>1310</v>
      </c>
      <c r="V207" s="4" t="s">
        <v>1311</v>
      </c>
      <c r="Y207" s="6">
        <v>44727</v>
      </c>
      <c r="Z207" s="6"/>
      <c r="AA207" s="6">
        <v>44733</v>
      </c>
    </row>
    <row r="208" spans="1:27" x14ac:dyDescent="0.35">
      <c r="A208" s="7" t="s">
        <v>1312</v>
      </c>
      <c r="B208" s="4" t="s">
        <v>1313</v>
      </c>
      <c r="D208" s="4" t="s">
        <v>1314</v>
      </c>
      <c r="E208" s="4" t="s">
        <v>1315</v>
      </c>
      <c r="F208" s="4" t="s">
        <v>103</v>
      </c>
      <c r="G208" s="4">
        <v>1</v>
      </c>
      <c r="J208" s="4" t="s">
        <v>158</v>
      </c>
      <c r="K208" s="4" t="s">
        <v>106</v>
      </c>
      <c r="L208" s="4" t="s">
        <v>181</v>
      </c>
      <c r="M208" s="4">
        <f>0.42/1000</f>
        <v>4.1999999999999996E-4</v>
      </c>
      <c r="N208" s="4" t="s">
        <v>60</v>
      </c>
      <c r="O208" s="4" t="s">
        <v>121</v>
      </c>
      <c r="S208" s="4" t="s">
        <v>1316</v>
      </c>
      <c r="T208" s="4" t="s">
        <v>1317</v>
      </c>
      <c r="V208" s="4" t="s">
        <v>1318</v>
      </c>
      <c r="Y208" s="6">
        <v>44727</v>
      </c>
      <c r="Z208" s="6"/>
      <c r="AA208" s="6">
        <v>44733</v>
      </c>
    </row>
    <row r="209" spans="1:27" x14ac:dyDescent="0.35">
      <c r="A209" s="7" t="s">
        <v>1319</v>
      </c>
      <c r="B209" s="4" t="s">
        <v>1320</v>
      </c>
      <c r="D209" s="4" t="s">
        <v>1321</v>
      </c>
      <c r="E209" s="4" t="s">
        <v>1322</v>
      </c>
      <c r="F209" s="4" t="s">
        <v>87</v>
      </c>
      <c r="G209" s="4">
        <v>2</v>
      </c>
      <c r="H209" s="4" t="s">
        <v>1323</v>
      </c>
      <c r="I209" s="4" t="s">
        <v>10</v>
      </c>
      <c r="J209" s="4" t="s">
        <v>132</v>
      </c>
      <c r="K209" s="4" t="s">
        <v>36</v>
      </c>
      <c r="L209" s="4" t="s">
        <v>36</v>
      </c>
      <c r="M209" s="4">
        <f>0.3/1000</f>
        <v>2.9999999999999997E-4</v>
      </c>
      <c r="N209" s="4" t="s">
        <v>60</v>
      </c>
      <c r="T209" s="4" t="s">
        <v>1324</v>
      </c>
      <c r="U209" s="4" t="s">
        <v>1325</v>
      </c>
      <c r="Y209" s="6">
        <v>44720</v>
      </c>
      <c r="Z209" s="6">
        <v>45096</v>
      </c>
      <c r="AA209" s="6">
        <v>45096</v>
      </c>
    </row>
    <row r="210" spans="1:27" x14ac:dyDescent="0.35">
      <c r="A210" s="7" t="s">
        <v>1326</v>
      </c>
      <c r="B210" s="4" t="s">
        <v>1327</v>
      </c>
      <c r="C210" s="4" t="s">
        <v>1328</v>
      </c>
      <c r="D210" s="4" t="s">
        <v>1329</v>
      </c>
      <c r="E210" s="4" t="s">
        <v>1330</v>
      </c>
      <c r="F210" s="4" t="s">
        <v>178</v>
      </c>
      <c r="G210" s="4">
        <v>1.6</v>
      </c>
      <c r="H210" s="4" t="s">
        <v>1331</v>
      </c>
      <c r="J210" s="4" t="s">
        <v>180</v>
      </c>
      <c r="K210" s="4" t="s">
        <v>106</v>
      </c>
      <c r="L210" s="4" t="s">
        <v>181</v>
      </c>
      <c r="M210" s="4">
        <f>10.5884/1000</f>
        <v>1.05884E-2</v>
      </c>
      <c r="N210" s="4" t="s">
        <v>341</v>
      </c>
      <c r="V210" s="4" t="s">
        <v>1332</v>
      </c>
      <c r="Y210" s="6">
        <v>44720</v>
      </c>
      <c r="Z210" s="6">
        <v>45048</v>
      </c>
      <c r="AA210" s="6">
        <v>44733</v>
      </c>
    </row>
    <row r="211" spans="1:27" x14ac:dyDescent="0.35">
      <c r="A211" s="7" t="s">
        <v>1333</v>
      </c>
      <c r="B211" s="4" t="s">
        <v>1334</v>
      </c>
      <c r="D211" s="4" t="s">
        <v>1335</v>
      </c>
      <c r="E211" s="4" t="s">
        <v>1336</v>
      </c>
      <c r="F211" s="4" t="s">
        <v>33</v>
      </c>
      <c r="G211" s="4">
        <v>10</v>
      </c>
      <c r="H211" s="4" t="s">
        <v>1337</v>
      </c>
      <c r="J211" s="4" t="s">
        <v>675</v>
      </c>
      <c r="K211" s="4" t="s">
        <v>36</v>
      </c>
      <c r="L211" s="4" t="s">
        <v>36</v>
      </c>
      <c r="M211" s="4">
        <f>31/1000</f>
        <v>3.1E-2</v>
      </c>
      <c r="N211" s="4" t="s">
        <v>60</v>
      </c>
      <c r="T211" s="4" t="s">
        <v>1338</v>
      </c>
      <c r="U211" s="4" t="s">
        <v>1339</v>
      </c>
      <c r="V211" s="10" t="s">
        <v>1340</v>
      </c>
      <c r="W211" s="10"/>
      <c r="Y211" s="6">
        <v>44720</v>
      </c>
      <c r="Z211" s="6">
        <v>45096</v>
      </c>
      <c r="AA211" s="6">
        <v>45096</v>
      </c>
    </row>
    <row r="212" spans="1:27" x14ac:dyDescent="0.35">
      <c r="A212" s="7" t="s">
        <v>1341</v>
      </c>
      <c r="B212" s="4" t="s">
        <v>1342</v>
      </c>
      <c r="D212" s="4" t="s">
        <v>1343</v>
      </c>
      <c r="E212" s="4" t="s">
        <v>602</v>
      </c>
      <c r="J212" s="4" t="s">
        <v>675</v>
      </c>
      <c r="K212" s="4" t="s">
        <v>36</v>
      </c>
      <c r="L212" s="4" t="s">
        <v>36</v>
      </c>
      <c r="N212" s="4" t="s">
        <v>60</v>
      </c>
      <c r="T212" s="4" t="s">
        <v>140</v>
      </c>
      <c r="V212" s="10" t="s">
        <v>1340</v>
      </c>
      <c r="W212" s="10"/>
      <c r="X212" s="4" t="s">
        <v>199</v>
      </c>
      <c r="Y212" s="6">
        <v>44720</v>
      </c>
      <c r="Z212" s="6"/>
    </row>
    <row r="213" spans="1:27" x14ac:dyDescent="0.35">
      <c r="A213" s="7" t="s">
        <v>1344</v>
      </c>
      <c r="B213" s="4" t="s">
        <v>1345</v>
      </c>
      <c r="D213" s="4" t="s">
        <v>1346</v>
      </c>
      <c r="E213" s="4" t="s">
        <v>1347</v>
      </c>
      <c r="F213" s="4" t="s">
        <v>33</v>
      </c>
      <c r="G213" s="4">
        <v>5</v>
      </c>
      <c r="H213" s="4" t="s">
        <v>1348</v>
      </c>
      <c r="I213" s="4" t="s">
        <v>10</v>
      </c>
      <c r="J213" s="4" t="s">
        <v>675</v>
      </c>
      <c r="K213" s="4" t="s">
        <v>36</v>
      </c>
      <c r="L213" s="4" t="s">
        <v>36</v>
      </c>
      <c r="M213" s="4">
        <f>16.53/1000</f>
        <v>1.653E-2</v>
      </c>
      <c r="N213" s="4" t="s">
        <v>60</v>
      </c>
      <c r="T213" s="4" t="s">
        <v>1349</v>
      </c>
      <c r="U213" s="4" t="s">
        <v>1350</v>
      </c>
      <c r="V213" s="10" t="s">
        <v>1340</v>
      </c>
      <c r="W213" s="10"/>
      <c r="Y213" s="6">
        <v>44720</v>
      </c>
      <c r="Z213" s="6">
        <v>45096</v>
      </c>
      <c r="AA213" s="6">
        <v>45096</v>
      </c>
    </row>
    <row r="214" spans="1:27" x14ac:dyDescent="0.35">
      <c r="A214" s="7" t="s">
        <v>2576</v>
      </c>
      <c r="B214" s="4" t="s">
        <v>2463</v>
      </c>
      <c r="D214" s="4" t="s">
        <v>2490</v>
      </c>
      <c r="E214" s="4" t="s">
        <v>2491</v>
      </c>
      <c r="F214" s="4" t="s">
        <v>33</v>
      </c>
      <c r="G214" s="4">
        <v>5</v>
      </c>
      <c r="H214" s="4" t="s">
        <v>2492</v>
      </c>
      <c r="J214" s="4" t="s">
        <v>132</v>
      </c>
      <c r="K214" s="4" t="s">
        <v>36</v>
      </c>
      <c r="L214" s="4" t="s">
        <v>36</v>
      </c>
      <c r="M214" s="4">
        <f>15.96/1000</f>
        <v>1.5960000000000002E-2</v>
      </c>
      <c r="N214" s="4" t="s">
        <v>60</v>
      </c>
      <c r="T214" s="4" t="s">
        <v>2488</v>
      </c>
      <c r="V214" s="4" t="s">
        <v>2493</v>
      </c>
      <c r="W214" s="10"/>
      <c r="Y214" s="6"/>
      <c r="Z214" s="6"/>
      <c r="AA214" s="6">
        <v>45201</v>
      </c>
    </row>
    <row r="215" spans="1:27" x14ac:dyDescent="0.35">
      <c r="A215" s="7" t="s">
        <v>2577</v>
      </c>
      <c r="B215" s="4" t="s">
        <v>1351</v>
      </c>
      <c r="D215" s="4" t="s">
        <v>1352</v>
      </c>
      <c r="E215" s="4" t="s">
        <v>1353</v>
      </c>
      <c r="F215" s="4" t="s">
        <v>103</v>
      </c>
      <c r="G215" s="4">
        <v>0.75</v>
      </c>
      <c r="H215" s="4" t="s">
        <v>1354</v>
      </c>
      <c r="J215" s="4" t="s">
        <v>105</v>
      </c>
      <c r="K215" s="4" t="s">
        <v>106</v>
      </c>
      <c r="L215" s="4" t="s">
        <v>119</v>
      </c>
      <c r="M215" s="4">
        <f>1.648/1000</f>
        <v>1.6479999999999999E-3</v>
      </c>
      <c r="N215" s="4" t="s">
        <v>120</v>
      </c>
      <c r="T215" s="4" t="s">
        <v>1355</v>
      </c>
      <c r="Y215" s="6">
        <v>44720</v>
      </c>
      <c r="Z215" s="6">
        <v>45048</v>
      </c>
      <c r="AA215" s="6">
        <v>44733</v>
      </c>
    </row>
    <row r="216" spans="1:27" x14ac:dyDescent="0.35">
      <c r="A216" s="7" t="s">
        <v>2640</v>
      </c>
      <c r="B216" s="4" t="s">
        <v>2648</v>
      </c>
      <c r="C216" s="4" t="s">
        <v>2623</v>
      </c>
      <c r="D216" s="4" t="s">
        <v>2107</v>
      </c>
      <c r="E216" s="4" t="s">
        <v>2108</v>
      </c>
      <c r="F216" s="4" t="s">
        <v>178</v>
      </c>
      <c r="G216" s="4">
        <v>1.5</v>
      </c>
      <c r="H216" s="4" t="s">
        <v>2109</v>
      </c>
      <c r="I216" s="4" t="s">
        <v>10</v>
      </c>
      <c r="J216" s="4" t="s">
        <v>180</v>
      </c>
      <c r="K216" s="4" t="s">
        <v>106</v>
      </c>
      <c r="L216" s="4" t="s">
        <v>181</v>
      </c>
      <c r="M216" s="4">
        <f>1.1/1000</f>
        <v>1.1000000000000001E-3</v>
      </c>
      <c r="N216" s="5" t="s">
        <v>121</v>
      </c>
      <c r="O216" s="4" t="s">
        <v>2415</v>
      </c>
      <c r="P216" s="5"/>
      <c r="Q216" s="5"/>
      <c r="R216" s="5"/>
      <c r="T216" s="5" t="s">
        <v>824</v>
      </c>
      <c r="U216" s="4" t="s">
        <v>2110</v>
      </c>
      <c r="Y216" s="6">
        <v>44728</v>
      </c>
      <c r="Z216" s="6"/>
      <c r="AA216" s="6">
        <v>45084</v>
      </c>
    </row>
    <row r="217" spans="1:27" x14ac:dyDescent="0.35">
      <c r="A217" s="7" t="s">
        <v>1356</v>
      </c>
      <c r="B217" s="4" t="s">
        <v>1357</v>
      </c>
      <c r="D217" s="4" t="s">
        <v>1358</v>
      </c>
      <c r="F217" s="4" t="s">
        <v>178</v>
      </c>
      <c r="G217" s="4">
        <v>0.75</v>
      </c>
      <c r="H217" s="4" t="s">
        <v>1359</v>
      </c>
      <c r="I217" s="4" t="s">
        <v>10</v>
      </c>
      <c r="J217" s="4" t="s">
        <v>180</v>
      </c>
      <c r="K217" s="4" t="s">
        <v>106</v>
      </c>
      <c r="L217" s="4" t="s">
        <v>1360</v>
      </c>
      <c r="M217" s="4">
        <f>2/1000</f>
        <v>2E-3</v>
      </c>
      <c r="N217" s="4" t="s">
        <v>60</v>
      </c>
      <c r="O217" s="4" t="s">
        <v>2415</v>
      </c>
      <c r="P217" s="4" t="s">
        <v>121</v>
      </c>
      <c r="T217" s="4" t="s">
        <v>1361</v>
      </c>
      <c r="U217" s="4" t="s">
        <v>208</v>
      </c>
      <c r="V217" s="4" t="s">
        <v>1362</v>
      </c>
      <c r="Y217" s="6">
        <v>44720</v>
      </c>
      <c r="Z217" s="6">
        <v>45048</v>
      </c>
      <c r="AA217" s="6">
        <v>44733</v>
      </c>
    </row>
    <row r="218" spans="1:27" x14ac:dyDescent="0.35">
      <c r="A218" s="7" t="s">
        <v>2578</v>
      </c>
      <c r="B218" s="4" t="s">
        <v>2448</v>
      </c>
      <c r="D218" s="4" t="s">
        <v>2500</v>
      </c>
      <c r="E218" s="4" t="s">
        <v>2496</v>
      </c>
      <c r="F218" s="4" t="s">
        <v>33</v>
      </c>
      <c r="G218" s="4">
        <v>4</v>
      </c>
      <c r="H218" s="4" t="s">
        <v>2499</v>
      </c>
      <c r="J218" s="4" t="s">
        <v>272</v>
      </c>
      <c r="K218" s="4" t="s">
        <v>106</v>
      </c>
      <c r="L218" s="4" t="s">
        <v>119</v>
      </c>
      <c r="M218" s="4">
        <f>7.2/1000</f>
        <v>7.1999999999999998E-3</v>
      </c>
      <c r="N218" s="4" t="s">
        <v>120</v>
      </c>
      <c r="T218" s="4" t="s">
        <v>2497</v>
      </c>
      <c r="U218" s="4" t="s">
        <v>2498</v>
      </c>
      <c r="Y218" s="6"/>
      <c r="Z218" s="6"/>
      <c r="AA218" s="6">
        <v>45201</v>
      </c>
    </row>
    <row r="219" spans="1:27" x14ac:dyDescent="0.35">
      <c r="A219" s="7" t="s">
        <v>1363</v>
      </c>
      <c r="B219" s="4" t="s">
        <v>1364</v>
      </c>
      <c r="D219" s="4" t="s">
        <v>1365</v>
      </c>
      <c r="E219" s="4" t="s">
        <v>1366</v>
      </c>
      <c r="F219" s="4" t="s">
        <v>130</v>
      </c>
      <c r="H219" s="4" t="s">
        <v>1367</v>
      </c>
      <c r="J219" s="4" t="s">
        <v>132</v>
      </c>
      <c r="K219" s="4" t="s">
        <v>36</v>
      </c>
      <c r="L219" s="4" t="s">
        <v>36</v>
      </c>
      <c r="M219" s="4">
        <f>1.8/1000</f>
        <v>1.8E-3</v>
      </c>
      <c r="N219" s="4" t="s">
        <v>60</v>
      </c>
      <c r="T219" s="4" t="s">
        <v>1368</v>
      </c>
      <c r="U219" s="4" t="s">
        <v>1369</v>
      </c>
      <c r="V219" s="4" t="s">
        <v>1370</v>
      </c>
      <c r="Y219" s="6">
        <v>44720</v>
      </c>
      <c r="Z219" s="6">
        <v>45096</v>
      </c>
      <c r="AA219" s="6">
        <v>45096</v>
      </c>
    </row>
    <row r="220" spans="1:27" x14ac:dyDescent="0.35">
      <c r="A220" s="7" t="s">
        <v>1371</v>
      </c>
      <c r="B220" s="4" t="s">
        <v>1372</v>
      </c>
      <c r="D220" s="4" t="s">
        <v>1373</v>
      </c>
      <c r="E220" s="4" t="s">
        <v>1374</v>
      </c>
      <c r="F220" s="4" t="s">
        <v>103</v>
      </c>
      <c r="H220" s="4" t="s">
        <v>1375</v>
      </c>
      <c r="J220" s="4" t="s">
        <v>105</v>
      </c>
      <c r="K220" s="4" t="s">
        <v>106</v>
      </c>
      <c r="L220" s="4" t="s">
        <v>119</v>
      </c>
      <c r="M220" s="4">
        <f>0.2665/1000</f>
        <v>2.6650000000000003E-4</v>
      </c>
      <c r="N220" s="4" t="s">
        <v>120</v>
      </c>
      <c r="T220" s="4" t="s">
        <v>27</v>
      </c>
      <c r="U220" s="4" t="s">
        <v>1376</v>
      </c>
      <c r="Y220" s="6">
        <v>44720</v>
      </c>
      <c r="Z220" s="6">
        <v>45048</v>
      </c>
      <c r="AA220" s="6">
        <v>44733</v>
      </c>
    </row>
    <row r="221" spans="1:27" x14ac:dyDescent="0.35">
      <c r="A221" s="7" t="s">
        <v>1377</v>
      </c>
      <c r="B221" s="4" t="s">
        <v>1378</v>
      </c>
      <c r="D221" s="4" t="s">
        <v>1379</v>
      </c>
      <c r="E221" s="4" t="s">
        <v>1380</v>
      </c>
      <c r="F221" s="4" t="s">
        <v>103</v>
      </c>
      <c r="H221" s="4" t="s">
        <v>1381</v>
      </c>
      <c r="I221" s="4" t="s">
        <v>10</v>
      </c>
      <c r="J221" s="4" t="s">
        <v>105</v>
      </c>
      <c r="K221" s="4" t="s">
        <v>200</v>
      </c>
      <c r="L221" s="4" t="s">
        <v>181</v>
      </c>
      <c r="M221" s="4">
        <f>1.5436/1000</f>
        <v>1.5436E-3</v>
      </c>
      <c r="N221" s="4" t="s">
        <v>49</v>
      </c>
      <c r="T221" s="4" t="s">
        <v>1382</v>
      </c>
      <c r="V221" s="4" t="s">
        <v>1383</v>
      </c>
      <c r="Y221" s="6">
        <v>44720</v>
      </c>
      <c r="Z221" s="6">
        <v>45048</v>
      </c>
      <c r="AA221" s="6">
        <v>44733</v>
      </c>
    </row>
    <row r="222" spans="1:27" x14ac:dyDescent="0.35">
      <c r="A222" s="7" t="s">
        <v>2579</v>
      </c>
      <c r="B222" s="4" t="s">
        <v>2449</v>
      </c>
      <c r="C222" s="4" t="s">
        <v>2503</v>
      </c>
      <c r="D222" s="4" t="s">
        <v>2504</v>
      </c>
      <c r="E222" s="4" t="s">
        <v>2506</v>
      </c>
      <c r="F222" s="4" t="s">
        <v>116</v>
      </c>
      <c r="G222" s="4">
        <v>8</v>
      </c>
      <c r="H222" s="4" t="s">
        <v>2505</v>
      </c>
      <c r="J222" s="4" t="s">
        <v>132</v>
      </c>
      <c r="K222" s="4" t="s">
        <v>36</v>
      </c>
      <c r="L222" s="4" t="s">
        <v>36</v>
      </c>
      <c r="M222" s="4">
        <f>17.4/1000</f>
        <v>1.7399999999999999E-2</v>
      </c>
      <c r="N222" s="4" t="s">
        <v>60</v>
      </c>
      <c r="T222" s="4" t="s">
        <v>2502</v>
      </c>
      <c r="U222" s="4" t="s">
        <v>2501</v>
      </c>
      <c r="Y222" s="6"/>
      <c r="Z222" s="6"/>
      <c r="AA222" s="6"/>
    </row>
    <row r="223" spans="1:27" x14ac:dyDescent="0.35">
      <c r="A223" s="7" t="s">
        <v>1384</v>
      </c>
      <c r="B223" s="4" t="s">
        <v>1385</v>
      </c>
      <c r="D223" s="4" t="s">
        <v>1386</v>
      </c>
      <c r="E223" s="4" t="s">
        <v>1387</v>
      </c>
      <c r="F223" s="4" t="s">
        <v>87</v>
      </c>
      <c r="G223" s="4">
        <v>3</v>
      </c>
      <c r="H223" s="4" t="s">
        <v>1388</v>
      </c>
      <c r="I223" s="4" t="s">
        <v>10</v>
      </c>
      <c r="J223" s="4" t="s">
        <v>447</v>
      </c>
      <c r="K223" s="4" t="s">
        <v>106</v>
      </c>
      <c r="L223" s="4" t="s">
        <v>775</v>
      </c>
      <c r="M223" s="4">
        <f>32.76/1000</f>
        <v>3.2759999999999997E-2</v>
      </c>
      <c r="N223" s="4" t="s">
        <v>108</v>
      </c>
      <c r="T223" s="4" t="s">
        <v>140</v>
      </c>
      <c r="U223" s="4" t="s">
        <v>1389</v>
      </c>
      <c r="V223" s="4" t="s">
        <v>1390</v>
      </c>
      <c r="Y223" s="6">
        <v>44720</v>
      </c>
      <c r="Z223" s="6">
        <v>45049</v>
      </c>
      <c r="AA223" s="6">
        <v>44733</v>
      </c>
    </row>
    <row r="224" spans="1:27" x14ac:dyDescent="0.35">
      <c r="A224" s="7" t="s">
        <v>1391</v>
      </c>
      <c r="B224" s="4" t="s">
        <v>1392</v>
      </c>
      <c r="D224" s="4" t="s">
        <v>1393</v>
      </c>
      <c r="E224" s="4" t="s">
        <v>1394</v>
      </c>
      <c r="F224" s="4" t="s">
        <v>103</v>
      </c>
      <c r="G224" s="4">
        <v>0.6</v>
      </c>
      <c r="H224" s="4" t="s">
        <v>1395</v>
      </c>
      <c r="I224" s="4" t="s">
        <v>10</v>
      </c>
      <c r="J224" s="4" t="s">
        <v>447</v>
      </c>
      <c r="K224" s="4" t="s">
        <v>106</v>
      </c>
      <c r="L224" s="4" t="s">
        <v>775</v>
      </c>
      <c r="M224" s="4">
        <f>21/1000</f>
        <v>2.1000000000000001E-2</v>
      </c>
      <c r="N224" s="4" t="s">
        <v>108</v>
      </c>
      <c r="O224" s="4" t="s">
        <v>49</v>
      </c>
      <c r="T224" s="4" t="s">
        <v>1290</v>
      </c>
      <c r="U224" s="4" t="s">
        <v>1396</v>
      </c>
      <c r="V224" s="4" t="s">
        <v>1390</v>
      </c>
      <c r="Y224" s="6">
        <v>44720</v>
      </c>
      <c r="Z224" s="6">
        <v>45049</v>
      </c>
      <c r="AA224" s="6">
        <v>44733</v>
      </c>
    </row>
    <row r="225" spans="1:27" x14ac:dyDescent="0.35">
      <c r="A225" s="7" t="s">
        <v>1397</v>
      </c>
      <c r="B225" s="4" t="s">
        <v>1398</v>
      </c>
      <c r="D225" s="4" t="s">
        <v>1399</v>
      </c>
      <c r="E225" s="4" t="s">
        <v>1400</v>
      </c>
      <c r="F225" s="4" t="s">
        <v>87</v>
      </c>
      <c r="G225" s="4">
        <v>6</v>
      </c>
      <c r="H225" s="4" t="s">
        <v>1401</v>
      </c>
      <c r="J225" s="4" t="s">
        <v>132</v>
      </c>
      <c r="K225" s="4" t="s">
        <v>36</v>
      </c>
      <c r="L225" s="4" t="s">
        <v>36</v>
      </c>
      <c r="M225" s="4">
        <f>2.54/1000</f>
        <v>2.5400000000000002E-3</v>
      </c>
      <c r="N225" s="4" t="s">
        <v>60</v>
      </c>
      <c r="T225" s="4" t="s">
        <v>1402</v>
      </c>
      <c r="U225" s="4" t="s">
        <v>1403</v>
      </c>
      <c r="Y225" s="6">
        <v>44720</v>
      </c>
      <c r="Z225" s="6">
        <v>45096</v>
      </c>
      <c r="AA225" s="6">
        <v>45096</v>
      </c>
    </row>
    <row r="226" spans="1:27" x14ac:dyDescent="0.35">
      <c r="A226" s="7" t="s">
        <v>1404</v>
      </c>
      <c r="B226" s="4" t="s">
        <v>1405</v>
      </c>
      <c r="D226" s="4" t="s">
        <v>1406</v>
      </c>
      <c r="F226" s="4" t="s">
        <v>103</v>
      </c>
      <c r="G226" s="4">
        <v>1</v>
      </c>
      <c r="H226" s="4" t="s">
        <v>1407</v>
      </c>
      <c r="I226" s="4" t="s">
        <v>10</v>
      </c>
      <c r="J226" s="4" t="s">
        <v>853</v>
      </c>
      <c r="K226" s="4" t="s">
        <v>106</v>
      </c>
      <c r="L226" s="4" t="s">
        <v>1408</v>
      </c>
      <c r="M226" s="4">
        <f>0.3/1000</f>
        <v>2.9999999999999997E-4</v>
      </c>
      <c r="N226" s="4" t="s">
        <v>49</v>
      </c>
      <c r="O226" s="4" t="s">
        <v>60</v>
      </c>
      <c r="P226" s="4" t="s">
        <v>121</v>
      </c>
      <c r="T226" s="4" t="s">
        <v>1409</v>
      </c>
      <c r="U226" s="4" t="s">
        <v>1410</v>
      </c>
      <c r="V226" s="4" t="s">
        <v>1411</v>
      </c>
      <c r="Y226" s="6">
        <v>44720</v>
      </c>
      <c r="Z226" s="6">
        <v>45049</v>
      </c>
      <c r="AA226" s="6">
        <v>44733</v>
      </c>
    </row>
    <row r="227" spans="1:27" x14ac:dyDescent="0.35">
      <c r="A227" s="7" t="s">
        <v>1412</v>
      </c>
      <c r="B227" s="4" t="s">
        <v>1413</v>
      </c>
      <c r="D227" s="4" t="s">
        <v>1414</v>
      </c>
      <c r="E227" s="4" t="s">
        <v>1415</v>
      </c>
      <c r="F227" s="4" t="s">
        <v>103</v>
      </c>
      <c r="G227" s="4">
        <v>1</v>
      </c>
      <c r="H227" s="4" t="s">
        <v>1416</v>
      </c>
      <c r="I227" s="4" t="s">
        <v>10</v>
      </c>
      <c r="J227" s="4" t="s">
        <v>105</v>
      </c>
      <c r="K227" s="4" t="s">
        <v>106</v>
      </c>
      <c r="L227" s="4" t="s">
        <v>997</v>
      </c>
      <c r="M227" s="4">
        <f>0.07/1000</f>
        <v>7.0000000000000007E-5</v>
      </c>
      <c r="N227" s="4" t="s">
        <v>49</v>
      </c>
      <c r="O227" s="4" t="s">
        <v>121</v>
      </c>
      <c r="P227" s="4" t="s">
        <v>60</v>
      </c>
      <c r="T227" s="4" t="s">
        <v>1417</v>
      </c>
      <c r="U227" s="4" t="s">
        <v>1418</v>
      </c>
      <c r="V227" s="4" t="s">
        <v>1419</v>
      </c>
      <c r="Y227" s="6">
        <v>44720</v>
      </c>
      <c r="Z227" s="6">
        <v>45049</v>
      </c>
      <c r="AA227" s="6">
        <v>44733</v>
      </c>
    </row>
    <row r="228" spans="1:27" x14ac:dyDescent="0.35">
      <c r="A228" s="7" t="s">
        <v>1420</v>
      </c>
      <c r="B228" s="4" t="s">
        <v>1421</v>
      </c>
      <c r="C228" s="4" t="s">
        <v>1422</v>
      </c>
      <c r="D228" s="4" t="s">
        <v>1423</v>
      </c>
      <c r="E228" s="4" t="s">
        <v>1424</v>
      </c>
      <c r="F228" s="4" t="s">
        <v>103</v>
      </c>
      <c r="G228" s="4">
        <v>2</v>
      </c>
      <c r="H228" s="4" t="s">
        <v>1425</v>
      </c>
      <c r="J228" s="4" t="s">
        <v>1426</v>
      </c>
      <c r="K228" s="4" t="s">
        <v>106</v>
      </c>
      <c r="L228" s="4" t="s">
        <v>181</v>
      </c>
      <c r="M228" s="4">
        <f>12.69/1000</f>
        <v>1.269E-2</v>
      </c>
      <c r="N228" s="4" t="s">
        <v>341</v>
      </c>
      <c r="T228" s="4" t="s">
        <v>1251</v>
      </c>
      <c r="U228" s="10" t="s">
        <v>1427</v>
      </c>
      <c r="Y228" s="6">
        <v>44720</v>
      </c>
      <c r="Z228" s="6">
        <v>45049</v>
      </c>
      <c r="AA228" s="6">
        <v>44734</v>
      </c>
    </row>
    <row r="229" spans="1:27" x14ac:dyDescent="0.35">
      <c r="A229" s="7" t="s">
        <v>1428</v>
      </c>
      <c r="B229" s="4" t="s">
        <v>1429</v>
      </c>
      <c r="D229" s="4" t="s">
        <v>1430</v>
      </c>
      <c r="E229" s="4" t="s">
        <v>1431</v>
      </c>
      <c r="F229" s="4" t="s">
        <v>33</v>
      </c>
      <c r="G229" s="4">
        <v>10</v>
      </c>
      <c r="H229" s="4" t="s">
        <v>1432</v>
      </c>
      <c r="J229" s="4" t="s">
        <v>105</v>
      </c>
      <c r="K229" s="4" t="s">
        <v>36</v>
      </c>
      <c r="L229" s="4" t="s">
        <v>37</v>
      </c>
      <c r="M229" s="4">
        <f>14.55/1000</f>
        <v>1.455E-2</v>
      </c>
      <c r="N229" s="4" t="s">
        <v>60</v>
      </c>
      <c r="T229" s="4" t="s">
        <v>27</v>
      </c>
      <c r="U229" s="4" t="s">
        <v>1433</v>
      </c>
      <c r="Y229" s="6">
        <v>44720</v>
      </c>
      <c r="Z229" s="6">
        <v>45096</v>
      </c>
      <c r="AA229" s="6">
        <v>45096</v>
      </c>
    </row>
    <row r="230" spans="1:27" x14ac:dyDescent="0.35">
      <c r="A230" s="7" t="s">
        <v>1434</v>
      </c>
      <c r="B230" s="4" t="s">
        <v>1435</v>
      </c>
      <c r="D230" s="4" t="s">
        <v>1436</v>
      </c>
      <c r="F230" s="4" t="s">
        <v>103</v>
      </c>
      <c r="H230" s="4" t="s">
        <v>1437</v>
      </c>
      <c r="I230" s="4" t="s">
        <v>10</v>
      </c>
      <c r="J230" s="4" t="s">
        <v>447</v>
      </c>
      <c r="K230" s="4" t="s">
        <v>106</v>
      </c>
      <c r="L230" s="4" t="s">
        <v>1438</v>
      </c>
      <c r="M230" s="4">
        <f>1.6/1000</f>
        <v>1.6000000000000001E-3</v>
      </c>
      <c r="N230" s="4" t="s">
        <v>60</v>
      </c>
      <c r="O230" s="4" t="s">
        <v>49</v>
      </c>
      <c r="T230" s="4" t="s">
        <v>1439</v>
      </c>
      <c r="U230" s="4" t="s">
        <v>1440</v>
      </c>
      <c r="V230" s="4" t="s">
        <v>1441</v>
      </c>
      <c r="Y230" s="6">
        <v>44727</v>
      </c>
      <c r="Z230" s="6"/>
      <c r="AA230" s="6">
        <v>44734</v>
      </c>
    </row>
    <row r="231" spans="1:27" x14ac:dyDescent="0.35">
      <c r="A231" s="7" t="s">
        <v>1442</v>
      </c>
      <c r="B231" s="4" t="s">
        <v>1443</v>
      </c>
      <c r="D231" s="4" t="s">
        <v>1444</v>
      </c>
      <c r="F231" s="4" t="s">
        <v>87</v>
      </c>
      <c r="G231" s="4">
        <v>2</v>
      </c>
      <c r="H231" s="4" t="s">
        <v>1445</v>
      </c>
      <c r="J231" s="4" t="s">
        <v>105</v>
      </c>
      <c r="K231" s="4" t="s">
        <v>106</v>
      </c>
      <c r="L231" s="4" t="s">
        <v>1446</v>
      </c>
      <c r="M231" s="4">
        <f>31.151/1000</f>
        <v>3.1150999999999998E-2</v>
      </c>
      <c r="N231" s="4" t="s">
        <v>120</v>
      </c>
      <c r="O231" s="4" t="s">
        <v>49</v>
      </c>
      <c r="T231" s="4" t="s">
        <v>1447</v>
      </c>
      <c r="V231" s="4" t="s">
        <v>1448</v>
      </c>
      <c r="Y231" s="6">
        <v>44720</v>
      </c>
      <c r="Z231" s="6"/>
      <c r="AA231" s="6">
        <v>44734</v>
      </c>
    </row>
    <row r="232" spans="1:27" x14ac:dyDescent="0.35">
      <c r="A232" s="7" t="s">
        <v>2580</v>
      </c>
      <c r="B232" s="4" t="s">
        <v>1449</v>
      </c>
      <c r="D232" s="4" t="s">
        <v>1450</v>
      </c>
      <c r="F232" s="4" t="s">
        <v>178</v>
      </c>
      <c r="G232" s="4">
        <v>2</v>
      </c>
      <c r="H232" s="4" t="s">
        <v>1451</v>
      </c>
      <c r="J232" s="4" t="s">
        <v>180</v>
      </c>
      <c r="K232" s="4" t="s">
        <v>106</v>
      </c>
      <c r="L232" s="4" t="s">
        <v>591</v>
      </c>
      <c r="N232" s="4" t="s">
        <v>120</v>
      </c>
      <c r="T232" s="4" t="s">
        <v>1452</v>
      </c>
      <c r="V232" s="4" t="s">
        <v>1453</v>
      </c>
      <c r="Y232" s="6">
        <v>44720</v>
      </c>
      <c r="Z232" s="6">
        <v>45049</v>
      </c>
      <c r="AA232" s="6">
        <v>44734</v>
      </c>
    </row>
    <row r="233" spans="1:27" x14ac:dyDescent="0.35">
      <c r="A233" s="7" t="s">
        <v>2581</v>
      </c>
      <c r="B233" s="4" t="s">
        <v>1454</v>
      </c>
      <c r="D233" s="4" t="s">
        <v>1455</v>
      </c>
      <c r="E233" s="4" t="s">
        <v>1456</v>
      </c>
      <c r="F233" s="4" t="s">
        <v>103</v>
      </c>
      <c r="G233" s="4">
        <v>0.6</v>
      </c>
      <c r="H233" s="4" t="s">
        <v>1457</v>
      </c>
      <c r="J233" s="4" t="s">
        <v>105</v>
      </c>
      <c r="K233" s="4" t="s">
        <v>106</v>
      </c>
      <c r="L233" s="4" t="s">
        <v>181</v>
      </c>
      <c r="M233" s="4">
        <f>3.11/1000</f>
        <v>3.1099999999999999E-3</v>
      </c>
      <c r="N233" s="4" t="s">
        <v>2415</v>
      </c>
      <c r="O233" s="4" t="s">
        <v>49</v>
      </c>
      <c r="P233" s="4" t="s">
        <v>121</v>
      </c>
      <c r="T233" s="4" t="s">
        <v>1458</v>
      </c>
      <c r="U233" s="4" t="s">
        <v>1459</v>
      </c>
      <c r="V233" s="4" t="s">
        <v>1460</v>
      </c>
      <c r="Y233" s="6">
        <v>44720</v>
      </c>
      <c r="Z233" s="6">
        <v>45049</v>
      </c>
      <c r="AA233" s="6">
        <v>44734</v>
      </c>
    </row>
    <row r="234" spans="1:27" x14ac:dyDescent="0.35">
      <c r="A234" s="7" t="s">
        <v>1461</v>
      </c>
      <c r="B234" s="4" t="s">
        <v>1462</v>
      </c>
      <c r="D234" s="4" t="s">
        <v>1463</v>
      </c>
      <c r="E234" s="4" t="s">
        <v>1464</v>
      </c>
      <c r="F234" s="4" t="s">
        <v>33</v>
      </c>
      <c r="H234" s="4" t="s">
        <v>1465</v>
      </c>
      <c r="J234" s="4" t="s">
        <v>675</v>
      </c>
      <c r="K234" s="4" t="s">
        <v>36</v>
      </c>
      <c r="L234" s="4" t="s">
        <v>36</v>
      </c>
      <c r="M234" s="4">
        <f>14.66/1000</f>
        <v>1.4659999999999999E-2</v>
      </c>
      <c r="N234" s="4" t="s">
        <v>60</v>
      </c>
      <c r="O234" s="4" t="s">
        <v>49</v>
      </c>
      <c r="T234" s="4" t="s">
        <v>1466</v>
      </c>
      <c r="V234" s="4" t="s">
        <v>1467</v>
      </c>
      <c r="W234" s="4" t="s">
        <v>411</v>
      </c>
      <c r="Y234" s="6">
        <v>44720</v>
      </c>
      <c r="Z234" s="6">
        <v>45096</v>
      </c>
      <c r="AA234" s="6">
        <v>45096</v>
      </c>
    </row>
    <row r="235" spans="1:27" x14ac:dyDescent="0.35">
      <c r="A235" s="7" t="s">
        <v>2582</v>
      </c>
      <c r="B235" s="4" t="s">
        <v>1468</v>
      </c>
      <c r="D235" s="4" t="s">
        <v>1469</v>
      </c>
      <c r="E235" s="4" t="s">
        <v>1470</v>
      </c>
      <c r="F235" s="4" t="s">
        <v>87</v>
      </c>
      <c r="G235" s="4">
        <v>1.5</v>
      </c>
      <c r="H235" s="4" t="s">
        <v>1471</v>
      </c>
      <c r="I235" s="4" t="s">
        <v>10</v>
      </c>
      <c r="J235" s="4" t="s">
        <v>105</v>
      </c>
      <c r="K235" s="4" t="s">
        <v>106</v>
      </c>
      <c r="L235" s="4" t="s">
        <v>591</v>
      </c>
      <c r="M235" s="4">
        <f>0.0473/1000</f>
        <v>4.7300000000000005E-5</v>
      </c>
      <c r="N235" s="4" t="s">
        <v>120</v>
      </c>
      <c r="O235" s="4" t="s">
        <v>49</v>
      </c>
      <c r="S235" s="4" t="s">
        <v>1472</v>
      </c>
      <c r="T235" s="4" t="s">
        <v>1473</v>
      </c>
      <c r="U235" s="4" t="s">
        <v>1474</v>
      </c>
      <c r="V235" s="4" t="s">
        <v>1475</v>
      </c>
      <c r="Y235" s="6">
        <v>44720</v>
      </c>
      <c r="Z235" s="6">
        <v>45049</v>
      </c>
      <c r="AA235" s="6">
        <v>44734</v>
      </c>
    </row>
    <row r="236" spans="1:27" x14ac:dyDescent="0.35">
      <c r="A236" s="7" t="s">
        <v>1476</v>
      </c>
      <c r="B236" s="4" t="s">
        <v>1477</v>
      </c>
      <c r="D236" s="4" t="s">
        <v>1478</v>
      </c>
      <c r="E236" s="4" t="s">
        <v>1479</v>
      </c>
      <c r="J236" s="4" t="s">
        <v>1426</v>
      </c>
      <c r="K236" s="4" t="s">
        <v>200</v>
      </c>
      <c r="X236" s="4" t="s">
        <v>181</v>
      </c>
      <c r="Y236" s="6">
        <v>44720</v>
      </c>
      <c r="Z236" s="6"/>
    </row>
    <row r="237" spans="1:27" x14ac:dyDescent="0.35">
      <c r="A237" s="7" t="s">
        <v>1480</v>
      </c>
      <c r="B237" s="4" t="s">
        <v>1481</v>
      </c>
      <c r="D237" s="4" t="s">
        <v>1482</v>
      </c>
      <c r="E237" s="4" t="s">
        <v>1483</v>
      </c>
      <c r="F237" s="4" t="s">
        <v>178</v>
      </c>
      <c r="G237" s="4">
        <v>0.3</v>
      </c>
      <c r="H237" s="4" t="s">
        <v>1484</v>
      </c>
      <c r="J237" s="4" t="s">
        <v>180</v>
      </c>
      <c r="K237" s="4" t="s">
        <v>106</v>
      </c>
      <c r="L237" s="4" t="s">
        <v>416</v>
      </c>
      <c r="M237" s="4">
        <f>0.4/1000</f>
        <v>4.0000000000000002E-4</v>
      </c>
      <c r="N237" s="4" t="s">
        <v>121</v>
      </c>
      <c r="T237" s="4" t="s">
        <v>1485</v>
      </c>
      <c r="V237" s="4" t="s">
        <v>1486</v>
      </c>
      <c r="Y237" s="6">
        <v>44720</v>
      </c>
      <c r="Z237" s="6"/>
      <c r="AA237" s="6">
        <v>44734</v>
      </c>
    </row>
    <row r="238" spans="1:27" x14ac:dyDescent="0.35">
      <c r="A238" s="7" t="s">
        <v>2583</v>
      </c>
      <c r="B238" s="4" t="s">
        <v>1487</v>
      </c>
      <c r="C238" s="4" t="s">
        <v>1488</v>
      </c>
      <c r="D238" s="4" t="s">
        <v>1489</v>
      </c>
      <c r="E238" s="4" t="s">
        <v>1490</v>
      </c>
      <c r="F238" s="4" t="s">
        <v>178</v>
      </c>
      <c r="G238" s="4">
        <v>1.2</v>
      </c>
      <c r="H238" s="4" t="s">
        <v>1491</v>
      </c>
      <c r="J238" s="4" t="s">
        <v>180</v>
      </c>
      <c r="K238" s="4" t="s">
        <v>106</v>
      </c>
      <c r="L238" s="4" t="s">
        <v>1492</v>
      </c>
      <c r="M238" s="4">
        <f>6.7/1000</f>
        <v>6.7000000000000002E-3</v>
      </c>
      <c r="N238" s="4" t="s">
        <v>121</v>
      </c>
      <c r="O238" s="4" t="s">
        <v>60</v>
      </c>
      <c r="P238" s="4" t="s">
        <v>2415</v>
      </c>
      <c r="Q238" s="4" t="s">
        <v>49</v>
      </c>
      <c r="T238" s="4" t="s">
        <v>1493</v>
      </c>
      <c r="U238" s="4" t="s">
        <v>1494</v>
      </c>
      <c r="V238" s="4" t="s">
        <v>1495</v>
      </c>
      <c r="Y238" s="6">
        <v>44720</v>
      </c>
      <c r="Z238" s="6">
        <v>45051</v>
      </c>
    </row>
    <row r="239" spans="1:27" x14ac:dyDescent="0.35">
      <c r="A239" s="7" t="s">
        <v>1496</v>
      </c>
      <c r="B239" s="4" t="s">
        <v>1497</v>
      </c>
      <c r="C239" s="4" t="s">
        <v>1498</v>
      </c>
      <c r="E239" s="4" t="s">
        <v>1499</v>
      </c>
      <c r="F239" s="4" t="s">
        <v>178</v>
      </c>
      <c r="G239" s="4">
        <v>0.7</v>
      </c>
      <c r="H239" s="4" t="s">
        <v>1500</v>
      </c>
      <c r="J239" s="4" t="s">
        <v>180</v>
      </c>
      <c r="K239" s="4" t="s">
        <v>106</v>
      </c>
      <c r="L239" s="4" t="s">
        <v>1501</v>
      </c>
      <c r="M239" s="4">
        <f>0.31/1000</f>
        <v>3.1E-4</v>
      </c>
      <c r="N239" s="4" t="s">
        <v>2415</v>
      </c>
      <c r="T239" s="4" t="s">
        <v>1502</v>
      </c>
      <c r="V239" s="4" t="s">
        <v>1503</v>
      </c>
      <c r="Y239" s="6">
        <v>44720</v>
      </c>
      <c r="Z239" s="6"/>
      <c r="AA239" s="6">
        <v>45051</v>
      </c>
    </row>
    <row r="240" spans="1:27" x14ac:dyDescent="0.35">
      <c r="A240" s="7" t="s">
        <v>1504</v>
      </c>
      <c r="B240" s="4" t="s">
        <v>1505</v>
      </c>
      <c r="C240" s="4" t="s">
        <v>1506</v>
      </c>
      <c r="D240" s="4" t="s">
        <v>1507</v>
      </c>
      <c r="E240" s="4" t="s">
        <v>1499</v>
      </c>
      <c r="F240" s="4" t="s">
        <v>178</v>
      </c>
      <c r="G240" s="4">
        <v>0.7</v>
      </c>
      <c r="H240" s="4" t="s">
        <v>1508</v>
      </c>
      <c r="I240" s="4" t="s">
        <v>10</v>
      </c>
      <c r="J240" s="4" t="s">
        <v>180</v>
      </c>
      <c r="K240" s="4" t="s">
        <v>106</v>
      </c>
      <c r="L240" s="4" t="s">
        <v>1509</v>
      </c>
      <c r="N240" s="4" t="s">
        <v>120</v>
      </c>
      <c r="O240" s="4" t="s">
        <v>121</v>
      </c>
      <c r="P240" s="4" t="s">
        <v>60</v>
      </c>
      <c r="S240" s="4" t="s">
        <v>1510</v>
      </c>
      <c r="T240" s="4" t="s">
        <v>1511</v>
      </c>
      <c r="U240" s="4" t="s">
        <v>1512</v>
      </c>
      <c r="V240" s="4" t="s">
        <v>1513</v>
      </c>
      <c r="Y240" s="6">
        <v>44720</v>
      </c>
      <c r="Z240" s="6"/>
    </row>
    <row r="241" spans="1:27" x14ac:dyDescent="0.35">
      <c r="A241" s="7" t="s">
        <v>1514</v>
      </c>
      <c r="B241" s="4" t="s">
        <v>1515</v>
      </c>
      <c r="D241" s="4" t="s">
        <v>1516</v>
      </c>
      <c r="J241" s="4" t="s">
        <v>347</v>
      </c>
      <c r="K241" s="4" t="s">
        <v>348</v>
      </c>
      <c r="Y241" s="6">
        <v>44720</v>
      </c>
      <c r="Z241" s="6"/>
    </row>
    <row r="242" spans="1:27" x14ac:dyDescent="0.35">
      <c r="A242" s="7" t="s">
        <v>1517</v>
      </c>
      <c r="B242" s="4" t="s">
        <v>1518</v>
      </c>
      <c r="D242" s="4" t="s">
        <v>1519</v>
      </c>
      <c r="E242" s="4" t="s">
        <v>1520</v>
      </c>
      <c r="F242" s="4" t="s">
        <v>103</v>
      </c>
      <c r="H242" s="4" t="s">
        <v>1521</v>
      </c>
      <c r="I242" s="4" t="s">
        <v>10</v>
      </c>
      <c r="J242" s="4" t="s">
        <v>546</v>
      </c>
      <c r="K242" s="4" t="s">
        <v>200</v>
      </c>
      <c r="N242" s="4" t="s">
        <v>49</v>
      </c>
      <c r="T242" s="4" t="s">
        <v>1522</v>
      </c>
      <c r="X242" s="4" t="s">
        <v>199</v>
      </c>
      <c r="Y242" s="6">
        <v>44720</v>
      </c>
      <c r="Z242" s="6">
        <v>45051</v>
      </c>
    </row>
    <row r="243" spans="1:27" x14ac:dyDescent="0.35">
      <c r="A243" s="7" t="s">
        <v>1523</v>
      </c>
      <c r="B243" s="4" t="s">
        <v>1524</v>
      </c>
      <c r="D243" s="4" t="s">
        <v>1525</v>
      </c>
      <c r="E243" s="4" t="s">
        <v>1526</v>
      </c>
      <c r="F243" s="4" t="s">
        <v>103</v>
      </c>
      <c r="H243" s="4" t="s">
        <v>1527</v>
      </c>
      <c r="I243" s="4" t="s">
        <v>10</v>
      </c>
      <c r="J243" s="4" t="s">
        <v>546</v>
      </c>
      <c r="K243" s="4" t="s">
        <v>200</v>
      </c>
      <c r="N243" s="4" t="s">
        <v>49</v>
      </c>
      <c r="T243" s="4" t="s">
        <v>1528</v>
      </c>
      <c r="U243" s="4" t="s">
        <v>1529</v>
      </c>
      <c r="Y243" s="6">
        <v>44720</v>
      </c>
      <c r="Z243" s="6">
        <v>45051</v>
      </c>
    </row>
    <row r="244" spans="1:27" x14ac:dyDescent="0.35">
      <c r="A244" s="7" t="s">
        <v>2584</v>
      </c>
      <c r="B244" s="4" t="s">
        <v>1530</v>
      </c>
      <c r="D244" s="4" t="s">
        <v>1531</v>
      </c>
      <c r="E244" s="4" t="s">
        <v>1532</v>
      </c>
      <c r="F244" s="4" t="s">
        <v>87</v>
      </c>
      <c r="G244" s="4">
        <v>3</v>
      </c>
      <c r="H244" s="4" t="s">
        <v>1533</v>
      </c>
      <c r="K244" s="4" t="s">
        <v>36</v>
      </c>
      <c r="L244" s="4" t="s">
        <v>36</v>
      </c>
      <c r="M244" s="4">
        <f>55.06/1000</f>
        <v>5.5060000000000005E-2</v>
      </c>
      <c r="N244" s="4" t="s">
        <v>60</v>
      </c>
      <c r="O244" s="4" t="s">
        <v>49</v>
      </c>
      <c r="T244" s="4" t="s">
        <v>1534</v>
      </c>
      <c r="U244" s="4" t="s">
        <v>1535</v>
      </c>
      <c r="Y244" s="6">
        <v>44720</v>
      </c>
      <c r="Z244" s="6">
        <v>45096</v>
      </c>
      <c r="AA244" s="6">
        <v>45096</v>
      </c>
    </row>
    <row r="245" spans="1:27" x14ac:dyDescent="0.35">
      <c r="A245" s="7" t="s">
        <v>1536</v>
      </c>
      <c r="B245" s="4" t="s">
        <v>1537</v>
      </c>
      <c r="C245" s="4" t="s">
        <v>1538</v>
      </c>
      <c r="D245" s="4" t="s">
        <v>1539</v>
      </c>
      <c r="E245" s="4" t="s">
        <v>1540</v>
      </c>
      <c r="F245" s="4" t="s">
        <v>33</v>
      </c>
      <c r="G245" s="4">
        <v>7</v>
      </c>
      <c r="H245" s="4" t="s">
        <v>1541</v>
      </c>
      <c r="J245" s="4" t="s">
        <v>675</v>
      </c>
      <c r="K245" s="4" t="s">
        <v>36</v>
      </c>
      <c r="L245" s="4" t="s">
        <v>36</v>
      </c>
      <c r="M245" s="4">
        <f>107.78/1000</f>
        <v>0.10778</v>
      </c>
      <c r="N245" s="4" t="s">
        <v>60</v>
      </c>
      <c r="T245" s="4" t="s">
        <v>1542</v>
      </c>
      <c r="U245" s="4" t="s">
        <v>1543</v>
      </c>
      <c r="V245" s="4" t="s">
        <v>1544</v>
      </c>
      <c r="Y245" s="6">
        <v>44720</v>
      </c>
      <c r="Z245" s="6">
        <v>45096</v>
      </c>
      <c r="AA245" s="6">
        <v>45096</v>
      </c>
    </row>
    <row r="246" spans="1:27" x14ac:dyDescent="0.35">
      <c r="A246" s="7" t="s">
        <v>1545</v>
      </c>
      <c r="B246" s="4" t="s">
        <v>1546</v>
      </c>
      <c r="C246" s="4" t="s">
        <v>1547</v>
      </c>
      <c r="D246" s="4" t="s">
        <v>1548</v>
      </c>
      <c r="E246" s="4" t="s">
        <v>1549</v>
      </c>
      <c r="F246" s="4" t="s">
        <v>116</v>
      </c>
      <c r="G246" s="4">
        <v>5</v>
      </c>
      <c r="H246" s="4" t="s">
        <v>1550</v>
      </c>
      <c r="J246" s="4" t="s">
        <v>132</v>
      </c>
      <c r="K246" s="4" t="s">
        <v>36</v>
      </c>
      <c r="L246" s="4" t="s">
        <v>1551</v>
      </c>
      <c r="M246" s="4">
        <f>24.16/1000</f>
        <v>2.4160000000000001E-2</v>
      </c>
      <c r="N246" s="4" t="s">
        <v>60</v>
      </c>
      <c r="O246" s="4" t="s">
        <v>38</v>
      </c>
      <c r="T246" s="4" t="s">
        <v>1552</v>
      </c>
      <c r="V246" s="4" t="s">
        <v>1553</v>
      </c>
      <c r="W246" s="10"/>
      <c r="Y246" s="6">
        <v>44720</v>
      </c>
      <c r="Z246" s="6">
        <v>44732</v>
      </c>
      <c r="AA246" s="6">
        <v>44732</v>
      </c>
    </row>
    <row r="247" spans="1:27" x14ac:dyDescent="0.35">
      <c r="A247" s="7" t="s">
        <v>1554</v>
      </c>
      <c r="B247" s="4" t="s">
        <v>1555</v>
      </c>
      <c r="D247" s="4" t="s">
        <v>1556</v>
      </c>
      <c r="J247" s="4" t="s">
        <v>347</v>
      </c>
      <c r="K247" s="4" t="s">
        <v>348</v>
      </c>
      <c r="Y247" s="6">
        <v>44720</v>
      </c>
      <c r="Z247" s="6"/>
    </row>
    <row r="248" spans="1:27" x14ac:dyDescent="0.35">
      <c r="A248" s="7" t="s">
        <v>1557</v>
      </c>
      <c r="B248" s="4" t="s">
        <v>1558</v>
      </c>
      <c r="C248" s="4" t="s">
        <v>1559</v>
      </c>
      <c r="D248" s="4" t="s">
        <v>1560</v>
      </c>
      <c r="E248" s="4" t="s">
        <v>1561</v>
      </c>
      <c r="F248" s="4" t="s">
        <v>87</v>
      </c>
      <c r="G248" s="4">
        <v>2</v>
      </c>
      <c r="H248" s="4" t="s">
        <v>1562</v>
      </c>
      <c r="J248" s="4" t="s">
        <v>675</v>
      </c>
      <c r="K248" s="4" t="s">
        <v>36</v>
      </c>
      <c r="L248" s="4" t="s">
        <v>36</v>
      </c>
      <c r="M248" s="4">
        <f>31.2/1000</f>
        <v>3.1199999999999999E-2</v>
      </c>
      <c r="N248" s="4" t="s">
        <v>60</v>
      </c>
      <c r="T248" s="4" t="s">
        <v>1563</v>
      </c>
      <c r="U248" s="4" t="s">
        <v>1564</v>
      </c>
      <c r="V248" s="4" t="s">
        <v>1565</v>
      </c>
      <c r="Y248" s="6">
        <v>44727</v>
      </c>
      <c r="Z248" s="6">
        <v>45097</v>
      </c>
      <c r="AA248" s="6">
        <v>45097</v>
      </c>
    </row>
    <row r="249" spans="1:27" x14ac:dyDescent="0.35">
      <c r="A249" s="7" t="s">
        <v>1566</v>
      </c>
      <c r="B249" s="4" t="s">
        <v>1567</v>
      </c>
      <c r="C249" s="4" t="s">
        <v>1568</v>
      </c>
      <c r="D249" s="4" t="s">
        <v>1569</v>
      </c>
      <c r="E249" s="4" t="s">
        <v>1570</v>
      </c>
      <c r="F249" s="4" t="s">
        <v>881</v>
      </c>
      <c r="G249" s="4">
        <v>8</v>
      </c>
      <c r="H249" s="4" t="s">
        <v>1571</v>
      </c>
      <c r="I249" s="4" t="s">
        <v>10</v>
      </c>
      <c r="J249" s="4" t="s">
        <v>447</v>
      </c>
      <c r="K249" s="4" t="s">
        <v>106</v>
      </c>
      <c r="L249" s="4" t="s">
        <v>775</v>
      </c>
      <c r="M249" s="4">
        <f>64.9/1000</f>
        <v>6.4899999999999999E-2</v>
      </c>
      <c r="N249" s="4" t="s">
        <v>108</v>
      </c>
      <c r="O249" s="4" t="s">
        <v>49</v>
      </c>
      <c r="T249" s="4" t="s">
        <v>27</v>
      </c>
      <c r="U249" s="4" t="s">
        <v>1572</v>
      </c>
      <c r="Y249" s="6">
        <v>44720</v>
      </c>
      <c r="Z249" s="6">
        <v>45055</v>
      </c>
      <c r="AA249" s="6">
        <v>44734</v>
      </c>
    </row>
    <row r="250" spans="1:27" x14ac:dyDescent="0.35">
      <c r="A250" s="7" t="s">
        <v>1573</v>
      </c>
      <c r="B250" s="4" t="s">
        <v>1574</v>
      </c>
      <c r="D250" s="4" t="s">
        <v>1575</v>
      </c>
      <c r="E250" s="4" t="s">
        <v>1576</v>
      </c>
      <c r="F250" s="4" t="s">
        <v>178</v>
      </c>
      <c r="G250" s="4">
        <v>0.45</v>
      </c>
      <c r="H250" s="4" t="s">
        <v>1577</v>
      </c>
      <c r="I250" s="4" t="s">
        <v>10</v>
      </c>
      <c r="J250" s="4" t="s">
        <v>180</v>
      </c>
      <c r="K250" s="4" t="s">
        <v>200</v>
      </c>
      <c r="L250" s="4" t="s">
        <v>181</v>
      </c>
      <c r="N250" s="4" t="s">
        <v>49</v>
      </c>
      <c r="O250" s="4" t="s">
        <v>121</v>
      </c>
      <c r="P250" s="4" t="s">
        <v>60</v>
      </c>
      <c r="T250" s="4" t="s">
        <v>1578</v>
      </c>
      <c r="U250" s="4" t="s">
        <v>1579</v>
      </c>
      <c r="V250" s="4" t="s">
        <v>1580</v>
      </c>
      <c r="Y250" s="6">
        <v>44720</v>
      </c>
      <c r="Z250" s="6">
        <v>45055</v>
      </c>
      <c r="AA250" s="6">
        <v>44734</v>
      </c>
    </row>
    <row r="251" spans="1:27" x14ac:dyDescent="0.35">
      <c r="A251" s="7" t="s">
        <v>1581</v>
      </c>
      <c r="B251" s="4" t="s">
        <v>1582</v>
      </c>
      <c r="D251" s="4" t="s">
        <v>1583</v>
      </c>
      <c r="E251" s="4" t="s">
        <v>1584</v>
      </c>
      <c r="F251" s="4" t="s">
        <v>178</v>
      </c>
      <c r="G251" s="4">
        <v>0.3</v>
      </c>
      <c r="H251" s="4" t="s">
        <v>1585</v>
      </c>
      <c r="I251" s="4" t="s">
        <v>10</v>
      </c>
      <c r="J251" s="4" t="s">
        <v>180</v>
      </c>
      <c r="K251" s="4" t="s">
        <v>106</v>
      </c>
      <c r="L251" s="4" t="s">
        <v>181</v>
      </c>
      <c r="M251" s="4">
        <f>0.6304/1000</f>
        <v>6.3039999999999993E-4</v>
      </c>
      <c r="N251" s="4" t="s">
        <v>121</v>
      </c>
      <c r="T251" s="4" t="s">
        <v>1586</v>
      </c>
      <c r="U251" s="10" t="s">
        <v>1587</v>
      </c>
      <c r="V251" s="4" t="s">
        <v>1588</v>
      </c>
      <c r="Y251" s="6">
        <v>44720</v>
      </c>
      <c r="Z251" s="6">
        <v>45055</v>
      </c>
      <c r="AA251" s="6">
        <v>44734</v>
      </c>
    </row>
    <row r="252" spans="1:27" x14ac:dyDescent="0.35">
      <c r="A252" s="7" t="s">
        <v>1589</v>
      </c>
      <c r="B252" s="4" t="s">
        <v>1590</v>
      </c>
      <c r="D252" s="4" t="s">
        <v>1591</v>
      </c>
      <c r="F252" s="4" t="s">
        <v>130</v>
      </c>
      <c r="H252" s="4" t="s">
        <v>1592</v>
      </c>
      <c r="J252" s="4" t="s">
        <v>132</v>
      </c>
      <c r="K252" s="4" t="s">
        <v>36</v>
      </c>
      <c r="L252" s="4" t="s">
        <v>36</v>
      </c>
      <c r="M252" s="4">
        <f>10.05/1000</f>
        <v>1.005E-2</v>
      </c>
      <c r="N252" s="4" t="s">
        <v>60</v>
      </c>
      <c r="T252" s="4" t="s">
        <v>27</v>
      </c>
      <c r="U252" s="4" t="s">
        <v>1593</v>
      </c>
      <c r="Y252" s="6">
        <v>44720</v>
      </c>
      <c r="Z252" s="6">
        <v>45097</v>
      </c>
      <c r="AA252" s="6">
        <v>45097</v>
      </c>
    </row>
    <row r="253" spans="1:27" x14ac:dyDescent="0.35">
      <c r="A253" s="7" t="s">
        <v>1594</v>
      </c>
      <c r="B253" s="4" t="s">
        <v>1595</v>
      </c>
      <c r="D253" s="4" t="s">
        <v>1596</v>
      </c>
      <c r="F253" s="4" t="s">
        <v>130</v>
      </c>
      <c r="H253" s="4" t="s">
        <v>1597</v>
      </c>
      <c r="J253" s="4" t="s">
        <v>132</v>
      </c>
      <c r="K253" s="4" t="s">
        <v>36</v>
      </c>
      <c r="L253" s="4" t="s">
        <v>36</v>
      </c>
      <c r="M253" s="4">
        <f>15.46/1000</f>
        <v>1.5460000000000002E-2</v>
      </c>
      <c r="N253" s="4" t="s">
        <v>60</v>
      </c>
      <c r="T253" s="4" t="s">
        <v>27</v>
      </c>
      <c r="U253" s="4" t="s">
        <v>1598</v>
      </c>
      <c r="Y253" s="6">
        <v>44720</v>
      </c>
      <c r="Z253" s="6">
        <v>45097</v>
      </c>
      <c r="AA253" s="6">
        <v>45097</v>
      </c>
    </row>
    <row r="254" spans="1:27" x14ac:dyDescent="0.35">
      <c r="A254" s="7" t="s">
        <v>2586</v>
      </c>
      <c r="B254" s="4" t="s">
        <v>1599</v>
      </c>
      <c r="D254" s="4" t="s">
        <v>1600</v>
      </c>
      <c r="E254" s="4" t="s">
        <v>1601</v>
      </c>
      <c r="F254" s="4" t="s">
        <v>130</v>
      </c>
      <c r="H254" s="4" t="s">
        <v>1602</v>
      </c>
      <c r="J254" s="4" t="s">
        <v>132</v>
      </c>
      <c r="K254" s="4" t="s">
        <v>36</v>
      </c>
      <c r="L254" s="4" t="s">
        <v>36</v>
      </c>
      <c r="N254" s="4" t="s">
        <v>60</v>
      </c>
      <c r="T254" s="4" t="s">
        <v>27</v>
      </c>
      <c r="U254" s="4" t="s">
        <v>1603</v>
      </c>
      <c r="Y254" s="6">
        <v>44727</v>
      </c>
      <c r="Z254" s="6">
        <v>45097</v>
      </c>
    </row>
    <row r="255" spans="1:27" x14ac:dyDescent="0.35">
      <c r="A255" s="7" t="s">
        <v>1604</v>
      </c>
      <c r="B255" s="4" t="s">
        <v>1605</v>
      </c>
      <c r="D255" s="4" t="s">
        <v>1606</v>
      </c>
      <c r="F255" s="4" t="s">
        <v>130</v>
      </c>
      <c r="H255" s="4" t="s">
        <v>1607</v>
      </c>
      <c r="J255" s="4" t="s">
        <v>132</v>
      </c>
      <c r="K255" s="4" t="s">
        <v>36</v>
      </c>
      <c r="L255" s="4" t="s">
        <v>36</v>
      </c>
      <c r="N255" s="4" t="s">
        <v>60</v>
      </c>
      <c r="T255" s="4" t="s">
        <v>1608</v>
      </c>
      <c r="Y255" s="6">
        <v>44720</v>
      </c>
      <c r="Z255" s="6">
        <v>45097</v>
      </c>
    </row>
    <row r="256" spans="1:27" x14ac:dyDescent="0.35">
      <c r="A256" s="7" t="s">
        <v>2585</v>
      </c>
      <c r="B256" s="4" t="s">
        <v>1610</v>
      </c>
      <c r="C256" s="4" t="s">
        <v>1609</v>
      </c>
      <c r="D256" s="4" t="s">
        <v>1611</v>
      </c>
      <c r="E256" s="4" t="s">
        <v>1612</v>
      </c>
      <c r="F256" s="4" t="s">
        <v>130</v>
      </c>
      <c r="J256" s="4" t="s">
        <v>132</v>
      </c>
      <c r="K256" s="4" t="s">
        <v>36</v>
      </c>
      <c r="L256" s="4" t="s">
        <v>36</v>
      </c>
      <c r="N256" s="4" t="s">
        <v>60</v>
      </c>
      <c r="X256" s="4" t="s">
        <v>199</v>
      </c>
      <c r="Y256" s="6"/>
      <c r="Z256" s="6"/>
    </row>
    <row r="257" spans="1:27" x14ac:dyDescent="0.35">
      <c r="A257" s="7" t="s">
        <v>1613</v>
      </c>
      <c r="B257" s="4" t="s">
        <v>1614</v>
      </c>
      <c r="D257" s="4" t="s">
        <v>1600</v>
      </c>
      <c r="E257" s="4" t="s">
        <v>1601</v>
      </c>
      <c r="F257" s="4" t="s">
        <v>130</v>
      </c>
      <c r="H257" s="4" t="s">
        <v>1615</v>
      </c>
      <c r="J257" s="4" t="s">
        <v>132</v>
      </c>
      <c r="K257" s="4" t="s">
        <v>36</v>
      </c>
      <c r="L257" s="4" t="s">
        <v>36</v>
      </c>
      <c r="N257" s="4" t="s">
        <v>60</v>
      </c>
      <c r="T257" s="4" t="s">
        <v>1616</v>
      </c>
      <c r="U257" s="4" t="s">
        <v>1617</v>
      </c>
      <c r="Y257" s="6">
        <v>44720</v>
      </c>
      <c r="Z257" s="6">
        <v>45097</v>
      </c>
    </row>
    <row r="258" spans="1:27" x14ac:dyDescent="0.35">
      <c r="A258" s="7" t="s">
        <v>2587</v>
      </c>
      <c r="B258" s="4" t="s">
        <v>1618</v>
      </c>
      <c r="C258" s="4" t="s">
        <v>1619</v>
      </c>
      <c r="D258" s="4" t="s">
        <v>1600</v>
      </c>
      <c r="F258" s="4" t="s">
        <v>130</v>
      </c>
      <c r="H258" s="4" t="s">
        <v>1620</v>
      </c>
      <c r="J258" s="4" t="s">
        <v>132</v>
      </c>
      <c r="K258" s="4" t="s">
        <v>36</v>
      </c>
      <c r="L258" s="4" t="s">
        <v>36</v>
      </c>
      <c r="M258" s="4">
        <f>29/1000</f>
        <v>2.9000000000000001E-2</v>
      </c>
      <c r="N258" s="4" t="s">
        <v>60</v>
      </c>
      <c r="T258" s="4" t="s">
        <v>1621</v>
      </c>
      <c r="U258" s="4" t="s">
        <v>1622</v>
      </c>
      <c r="V258" s="4" t="s">
        <v>1623</v>
      </c>
      <c r="Y258" s="6">
        <v>44720</v>
      </c>
      <c r="Z258" s="6">
        <v>45097</v>
      </c>
      <c r="AA258" s="6">
        <v>45097</v>
      </c>
    </row>
    <row r="259" spans="1:27" x14ac:dyDescent="0.35">
      <c r="A259" s="7" t="s">
        <v>1624</v>
      </c>
      <c r="B259" s="4" t="s">
        <v>1625</v>
      </c>
      <c r="C259" s="4" t="s">
        <v>1626</v>
      </c>
      <c r="D259" s="4" t="s">
        <v>1627</v>
      </c>
      <c r="E259" s="4" t="s">
        <v>1628</v>
      </c>
      <c r="F259" s="4" t="s">
        <v>103</v>
      </c>
      <c r="H259" s="4" t="s">
        <v>1629</v>
      </c>
      <c r="I259" s="4" t="s">
        <v>10</v>
      </c>
      <c r="J259" s="4" t="s">
        <v>483</v>
      </c>
      <c r="K259" s="4" t="s">
        <v>106</v>
      </c>
      <c r="L259" s="4" t="s">
        <v>206</v>
      </c>
      <c r="M259" s="4">
        <f>1.5066/1000</f>
        <v>1.5065999999999999E-3</v>
      </c>
      <c r="N259" s="4" t="s">
        <v>38</v>
      </c>
      <c r="T259" s="4" t="s">
        <v>207</v>
      </c>
      <c r="V259" s="4" t="s">
        <v>1630</v>
      </c>
      <c r="Y259" s="6">
        <v>44720</v>
      </c>
      <c r="Z259" s="6">
        <v>45056</v>
      </c>
      <c r="AA259" s="6">
        <v>44734</v>
      </c>
    </row>
    <row r="260" spans="1:27" x14ac:dyDescent="0.35">
      <c r="A260" s="7" t="s">
        <v>1631</v>
      </c>
      <c r="B260" s="4" t="s">
        <v>1632</v>
      </c>
      <c r="D260" s="4" t="s">
        <v>1633</v>
      </c>
      <c r="E260" s="4" t="s">
        <v>1634</v>
      </c>
      <c r="F260" s="4" t="s">
        <v>178</v>
      </c>
      <c r="G260" s="4">
        <v>2</v>
      </c>
      <c r="H260" s="4" t="s">
        <v>1635</v>
      </c>
      <c r="I260" s="4" t="s">
        <v>10</v>
      </c>
      <c r="J260" s="4" t="s">
        <v>180</v>
      </c>
      <c r="K260" s="4" t="s">
        <v>106</v>
      </c>
      <c r="L260" s="4" t="s">
        <v>1636</v>
      </c>
      <c r="M260" s="4">
        <f>0.8/1000</f>
        <v>8.0000000000000004E-4</v>
      </c>
      <c r="N260" s="4" t="s">
        <v>49</v>
      </c>
      <c r="O260" s="4" t="s">
        <v>2415</v>
      </c>
      <c r="P260" s="4" t="s">
        <v>121</v>
      </c>
      <c r="T260" s="4" t="s">
        <v>1637</v>
      </c>
      <c r="U260" s="4" t="s">
        <v>1638</v>
      </c>
      <c r="V260" s="4" t="s">
        <v>1639</v>
      </c>
      <c r="Y260" s="6">
        <v>44720</v>
      </c>
      <c r="Z260" s="6">
        <v>45056</v>
      </c>
      <c r="AA260" s="6">
        <v>44734</v>
      </c>
    </row>
    <row r="261" spans="1:27" x14ac:dyDescent="0.35">
      <c r="A261" s="7" t="s">
        <v>1640</v>
      </c>
      <c r="B261" s="4" t="s">
        <v>1641</v>
      </c>
      <c r="D261" s="4" t="s">
        <v>1642</v>
      </c>
      <c r="E261" s="4" t="s">
        <v>1643</v>
      </c>
      <c r="F261" s="4" t="s">
        <v>116</v>
      </c>
      <c r="G261" s="4">
        <v>6</v>
      </c>
      <c r="H261" s="4" t="s">
        <v>1644</v>
      </c>
      <c r="J261" s="4" t="s">
        <v>132</v>
      </c>
      <c r="K261" s="4" t="s">
        <v>36</v>
      </c>
      <c r="L261" s="4" t="s">
        <v>36</v>
      </c>
      <c r="M261" s="4">
        <f>1056/1000</f>
        <v>1.056</v>
      </c>
      <c r="N261" s="4" t="s">
        <v>60</v>
      </c>
      <c r="T261" s="4" t="s">
        <v>1645</v>
      </c>
      <c r="U261" s="4" t="s">
        <v>1646</v>
      </c>
      <c r="Y261" s="6">
        <v>44720</v>
      </c>
      <c r="Z261" s="6"/>
      <c r="AA261" s="6">
        <v>45097</v>
      </c>
    </row>
    <row r="262" spans="1:27" x14ac:dyDescent="0.35">
      <c r="A262" s="7" t="s">
        <v>2588</v>
      </c>
      <c r="B262" s="4" t="s">
        <v>1647</v>
      </c>
      <c r="C262" s="4" t="s">
        <v>1648</v>
      </c>
      <c r="D262" s="4" t="s">
        <v>1649</v>
      </c>
      <c r="E262" s="4" t="s">
        <v>1650</v>
      </c>
      <c r="F262" s="4" t="s">
        <v>178</v>
      </c>
      <c r="G262" s="4">
        <v>3</v>
      </c>
      <c r="H262" s="4" t="s">
        <v>1651</v>
      </c>
      <c r="J262" s="4" t="s">
        <v>180</v>
      </c>
      <c r="K262" s="4" t="s">
        <v>200</v>
      </c>
      <c r="M262" s="4">
        <f>0.1/1000</f>
        <v>1E-4</v>
      </c>
      <c r="N262" s="4" t="s">
        <v>49</v>
      </c>
      <c r="O262" s="4" t="s">
        <v>2415</v>
      </c>
      <c r="P262" s="4" t="s">
        <v>121</v>
      </c>
      <c r="T262" s="4" t="s">
        <v>28</v>
      </c>
      <c r="U262" s="4" t="s">
        <v>1652</v>
      </c>
      <c r="V262" s="4" t="s">
        <v>1653</v>
      </c>
      <c r="Y262" s="6">
        <v>44720</v>
      </c>
      <c r="Z262" s="6">
        <v>45084</v>
      </c>
      <c r="AA262" s="6">
        <v>44734</v>
      </c>
    </row>
    <row r="263" spans="1:27" x14ac:dyDescent="0.35">
      <c r="A263" s="7" t="s">
        <v>2589</v>
      </c>
      <c r="B263" s="4" t="s">
        <v>1654</v>
      </c>
      <c r="D263" s="4" t="s">
        <v>1655</v>
      </c>
      <c r="J263" s="4" t="s">
        <v>180</v>
      </c>
      <c r="K263" s="4" t="s">
        <v>106</v>
      </c>
      <c r="X263" s="4" t="s">
        <v>181</v>
      </c>
      <c r="Y263" s="6">
        <v>44720</v>
      </c>
      <c r="Z263" s="6"/>
    </row>
    <row r="264" spans="1:27" x14ac:dyDescent="0.35">
      <c r="A264" s="7" t="s">
        <v>1656</v>
      </c>
      <c r="B264" s="4" t="s">
        <v>1657</v>
      </c>
      <c r="C264" s="4" t="s">
        <v>2624</v>
      </c>
      <c r="D264" s="4" t="s">
        <v>1658</v>
      </c>
      <c r="E264" s="4" t="s">
        <v>1659</v>
      </c>
      <c r="F264" s="4" t="s">
        <v>87</v>
      </c>
      <c r="G264" s="4">
        <v>2</v>
      </c>
      <c r="H264" s="4" t="s">
        <v>1660</v>
      </c>
      <c r="I264" s="4" t="s">
        <v>10</v>
      </c>
      <c r="J264" s="17" t="s">
        <v>132</v>
      </c>
      <c r="K264" s="18" t="s">
        <v>36</v>
      </c>
      <c r="L264" s="18" t="s">
        <v>36</v>
      </c>
      <c r="M264" s="18">
        <f>5.32/1000</f>
        <v>5.3200000000000001E-3</v>
      </c>
      <c r="N264" s="17" t="s">
        <v>60</v>
      </c>
      <c r="T264" s="5" t="s">
        <v>1661</v>
      </c>
      <c r="U264" s="4" t="s">
        <v>1662</v>
      </c>
      <c r="Y264" s="6">
        <v>44720</v>
      </c>
      <c r="Z264" s="6"/>
      <c r="AA264" s="6">
        <v>45097</v>
      </c>
    </row>
    <row r="265" spans="1:27" x14ac:dyDescent="0.35">
      <c r="A265" s="7" t="s">
        <v>1663</v>
      </c>
      <c r="B265" s="4" t="s">
        <v>1664</v>
      </c>
      <c r="C265" s="4" t="s">
        <v>1665</v>
      </c>
      <c r="D265" s="4" t="s">
        <v>1666</v>
      </c>
      <c r="E265" s="4" t="s">
        <v>1667</v>
      </c>
      <c r="F265" s="4" t="s">
        <v>103</v>
      </c>
      <c r="G265" s="4">
        <v>0.1</v>
      </c>
      <c r="H265" s="4" t="s">
        <v>1668</v>
      </c>
      <c r="I265" s="4" t="s">
        <v>10</v>
      </c>
      <c r="J265" s="4" t="s">
        <v>158</v>
      </c>
      <c r="K265" s="4" t="s">
        <v>106</v>
      </c>
      <c r="L265" s="4" t="s">
        <v>159</v>
      </c>
      <c r="M265" s="4">
        <f>0.185/1000</f>
        <v>1.85E-4</v>
      </c>
      <c r="N265" s="4" t="s">
        <v>120</v>
      </c>
      <c r="T265" s="4" t="s">
        <v>1669</v>
      </c>
      <c r="U265" s="4" t="s">
        <v>1670</v>
      </c>
      <c r="V265" s="4" t="s">
        <v>1671</v>
      </c>
      <c r="Y265" s="6">
        <v>44720</v>
      </c>
      <c r="Z265" s="6">
        <v>45056</v>
      </c>
      <c r="AA265" s="6">
        <v>44734</v>
      </c>
    </row>
    <row r="266" spans="1:27" x14ac:dyDescent="0.35">
      <c r="A266" s="7" t="s">
        <v>2590</v>
      </c>
      <c r="B266" s="4" t="s">
        <v>2641</v>
      </c>
      <c r="C266" s="4" t="s">
        <v>2649</v>
      </c>
      <c r="D266" s="4" t="s">
        <v>1672</v>
      </c>
      <c r="E266" s="4" t="s">
        <v>1673</v>
      </c>
      <c r="F266" s="4" t="s">
        <v>103</v>
      </c>
      <c r="G266" s="4">
        <v>0.45</v>
      </c>
      <c r="H266" s="4" t="s">
        <v>2429</v>
      </c>
      <c r="I266" s="4" t="s">
        <v>10</v>
      </c>
      <c r="J266" s="4" t="s">
        <v>158</v>
      </c>
      <c r="K266" s="4" t="s">
        <v>106</v>
      </c>
      <c r="L266" s="4" t="s">
        <v>159</v>
      </c>
      <c r="M266" s="4">
        <f>0.2115385/1000</f>
        <v>2.115385E-4</v>
      </c>
      <c r="N266" s="4" t="s">
        <v>120</v>
      </c>
      <c r="T266" s="4" t="s">
        <v>281</v>
      </c>
      <c r="Y266" s="6">
        <v>44720</v>
      </c>
      <c r="Z266" s="6">
        <v>45056</v>
      </c>
      <c r="AA266" s="6">
        <v>44734</v>
      </c>
    </row>
    <row r="267" spans="1:27" x14ac:dyDescent="0.35">
      <c r="A267" s="7" t="s">
        <v>1674</v>
      </c>
      <c r="B267" s="4" t="s">
        <v>1675</v>
      </c>
      <c r="D267" s="4" t="s">
        <v>1676</v>
      </c>
      <c r="E267" s="4" t="s">
        <v>1677</v>
      </c>
      <c r="F267" s="4" t="s">
        <v>33</v>
      </c>
      <c r="G267" s="4">
        <v>37</v>
      </c>
      <c r="H267" s="4" t="s">
        <v>1678</v>
      </c>
      <c r="J267" s="4" t="s">
        <v>360</v>
      </c>
      <c r="K267" s="4" t="s">
        <v>106</v>
      </c>
      <c r="L267" s="4" t="s">
        <v>119</v>
      </c>
      <c r="M267" s="4">
        <f>4.1/1000</f>
        <v>4.0999999999999995E-3</v>
      </c>
      <c r="N267" s="4" t="s">
        <v>120</v>
      </c>
      <c r="S267" s="4" t="s">
        <v>2512</v>
      </c>
      <c r="T267" s="4" t="s">
        <v>1679</v>
      </c>
      <c r="U267" s="4" t="s">
        <v>1680</v>
      </c>
      <c r="V267" s="4" t="s">
        <v>1681</v>
      </c>
      <c r="Y267" s="6">
        <v>44720</v>
      </c>
      <c r="Z267" s="6">
        <v>45056</v>
      </c>
      <c r="AA267" s="6">
        <v>44734</v>
      </c>
    </row>
    <row r="268" spans="1:27" x14ac:dyDescent="0.35">
      <c r="A268" s="7" t="s">
        <v>1682</v>
      </c>
      <c r="B268" s="4" t="s">
        <v>1683</v>
      </c>
      <c r="D268" s="4" t="s">
        <v>1684</v>
      </c>
      <c r="E268" s="4" t="s">
        <v>1685</v>
      </c>
      <c r="F268" s="4" t="s">
        <v>116</v>
      </c>
      <c r="G268" s="4">
        <v>18</v>
      </c>
      <c r="H268" s="4" t="s">
        <v>1686</v>
      </c>
      <c r="J268" s="4" t="s">
        <v>360</v>
      </c>
      <c r="K268" s="4" t="s">
        <v>106</v>
      </c>
      <c r="L268" s="4" t="s">
        <v>119</v>
      </c>
      <c r="M268" s="4">
        <f>21/1000</f>
        <v>2.1000000000000001E-2</v>
      </c>
      <c r="N268" s="4" t="s">
        <v>120</v>
      </c>
      <c r="O268" s="4" t="s">
        <v>1687</v>
      </c>
      <c r="T268" s="4" t="s">
        <v>1688</v>
      </c>
      <c r="U268" s="4" t="s">
        <v>1689</v>
      </c>
      <c r="V268" s="4" t="s">
        <v>1690</v>
      </c>
      <c r="Y268" s="6">
        <v>44720</v>
      </c>
      <c r="Z268" s="6">
        <v>45056</v>
      </c>
      <c r="AA268" s="6">
        <v>44734</v>
      </c>
    </row>
    <row r="269" spans="1:27" x14ac:dyDescent="0.35">
      <c r="A269" s="7" t="s">
        <v>2591</v>
      </c>
      <c r="B269" s="4" t="s">
        <v>2450</v>
      </c>
      <c r="D269" s="4" t="s">
        <v>2507</v>
      </c>
      <c r="E269" s="4" t="s">
        <v>2519</v>
      </c>
      <c r="F269" s="4" t="s">
        <v>116</v>
      </c>
      <c r="G269" s="4">
        <v>35</v>
      </c>
      <c r="J269" s="4" t="s">
        <v>360</v>
      </c>
      <c r="K269" s="4" t="s">
        <v>106</v>
      </c>
      <c r="L269" s="4" t="s">
        <v>119</v>
      </c>
      <c r="M269" s="4">
        <f>20.41/1000</f>
        <v>2.0410000000000001E-2</v>
      </c>
      <c r="N269" s="4" t="s">
        <v>120</v>
      </c>
      <c r="T269" s="4" t="s">
        <v>2510</v>
      </c>
      <c r="U269" s="4" t="s">
        <v>2511</v>
      </c>
      <c r="V269" s="4" t="s">
        <v>2508</v>
      </c>
      <c r="Y269" s="6"/>
      <c r="Z269" s="6"/>
      <c r="AA269" s="6">
        <v>45201</v>
      </c>
    </row>
    <row r="270" spans="1:27" x14ac:dyDescent="0.35">
      <c r="A270" s="7" t="s">
        <v>1691</v>
      </c>
      <c r="B270" s="4" t="s">
        <v>1692</v>
      </c>
      <c r="D270" s="4" t="s">
        <v>1693</v>
      </c>
      <c r="E270" s="4" t="s">
        <v>1694</v>
      </c>
      <c r="F270" s="4" t="s">
        <v>33</v>
      </c>
      <c r="G270" s="4">
        <v>8</v>
      </c>
      <c r="J270" s="4" t="s">
        <v>360</v>
      </c>
      <c r="K270" s="4" t="s">
        <v>106</v>
      </c>
      <c r="L270" s="4" t="s">
        <v>119</v>
      </c>
      <c r="M270" s="4">
        <f>13.7/1000</f>
        <v>1.3699999999999999E-2</v>
      </c>
      <c r="N270" s="4" t="s">
        <v>120</v>
      </c>
      <c r="O270" s="4" t="s">
        <v>121</v>
      </c>
      <c r="T270" s="4" t="s">
        <v>1695</v>
      </c>
      <c r="U270" s="4" t="s">
        <v>1696</v>
      </c>
      <c r="V270" s="4" t="s">
        <v>1697</v>
      </c>
      <c r="Y270" s="6">
        <v>44720</v>
      </c>
      <c r="Z270" s="6">
        <v>45056</v>
      </c>
      <c r="AA270" s="6">
        <v>44734</v>
      </c>
    </row>
    <row r="271" spans="1:27" x14ac:dyDescent="0.35">
      <c r="A271" s="7" t="s">
        <v>1698</v>
      </c>
      <c r="B271" s="4" t="s">
        <v>1699</v>
      </c>
      <c r="D271" s="4" t="s">
        <v>1700</v>
      </c>
      <c r="E271" s="4" t="s">
        <v>1701</v>
      </c>
      <c r="F271" s="4" t="s">
        <v>116</v>
      </c>
      <c r="G271" s="4">
        <v>22</v>
      </c>
      <c r="H271" s="4" t="s">
        <v>1702</v>
      </c>
      <c r="J271" s="4" t="s">
        <v>360</v>
      </c>
      <c r="K271" s="4" t="s">
        <v>106</v>
      </c>
      <c r="L271" s="4" t="s">
        <v>119</v>
      </c>
      <c r="M271" s="4">
        <f>13/1000</f>
        <v>1.2999999999999999E-2</v>
      </c>
      <c r="N271" s="4" t="s">
        <v>120</v>
      </c>
      <c r="T271" s="4" t="s">
        <v>1703</v>
      </c>
      <c r="U271" s="4" t="s">
        <v>1704</v>
      </c>
      <c r="V271" s="4" t="s">
        <v>1705</v>
      </c>
      <c r="Y271" s="6">
        <v>44720</v>
      </c>
      <c r="Z271" s="6">
        <v>45056</v>
      </c>
      <c r="AA271" s="6">
        <v>44734</v>
      </c>
    </row>
    <row r="272" spans="1:27" x14ac:dyDescent="0.35">
      <c r="A272" s="7" t="s">
        <v>1706</v>
      </c>
      <c r="B272" s="4" t="s">
        <v>1707</v>
      </c>
      <c r="D272" s="4" t="s">
        <v>1708</v>
      </c>
      <c r="E272" s="4" t="s">
        <v>1709</v>
      </c>
      <c r="F272" s="4" t="s">
        <v>116</v>
      </c>
      <c r="G272" s="4">
        <v>40</v>
      </c>
      <c r="H272" s="4" t="s">
        <v>1710</v>
      </c>
      <c r="J272" s="4" t="s">
        <v>360</v>
      </c>
      <c r="K272" s="4" t="s">
        <v>106</v>
      </c>
      <c r="L272" s="4" t="s">
        <v>119</v>
      </c>
      <c r="M272" s="4">
        <f>17/1000</f>
        <v>1.7000000000000001E-2</v>
      </c>
      <c r="N272" s="4" t="s">
        <v>120</v>
      </c>
      <c r="T272" s="4" t="s">
        <v>1711</v>
      </c>
      <c r="V272" s="4" t="s">
        <v>1712</v>
      </c>
      <c r="Y272" s="6">
        <v>44720</v>
      </c>
      <c r="Z272" s="6">
        <v>45056</v>
      </c>
      <c r="AA272" s="6">
        <v>44734</v>
      </c>
    </row>
    <row r="273" spans="1:27" x14ac:dyDescent="0.35">
      <c r="A273" s="7" t="s">
        <v>2592</v>
      </c>
      <c r="B273" s="4" t="s">
        <v>1713</v>
      </c>
      <c r="D273" s="4" t="s">
        <v>1714</v>
      </c>
      <c r="E273" s="4" t="s">
        <v>1715</v>
      </c>
      <c r="F273" s="4" t="s">
        <v>116</v>
      </c>
      <c r="G273" s="4">
        <v>33</v>
      </c>
      <c r="H273" s="4" t="s">
        <v>1716</v>
      </c>
      <c r="J273" s="4" t="s">
        <v>360</v>
      </c>
      <c r="K273" s="4" t="s">
        <v>106</v>
      </c>
      <c r="L273" s="4" t="s">
        <v>119</v>
      </c>
      <c r="M273" s="4">
        <f>14/1000</f>
        <v>1.4E-2</v>
      </c>
      <c r="N273" s="4" t="s">
        <v>120</v>
      </c>
      <c r="O273" s="4" t="s">
        <v>1687</v>
      </c>
      <c r="T273" s="4" t="s">
        <v>1717</v>
      </c>
      <c r="U273" s="4" t="s">
        <v>1696</v>
      </c>
      <c r="V273" s="4" t="s">
        <v>1718</v>
      </c>
      <c r="Y273" s="6">
        <v>44720</v>
      </c>
      <c r="Z273" s="6">
        <v>45056</v>
      </c>
      <c r="AA273" s="6">
        <v>44734</v>
      </c>
    </row>
    <row r="274" spans="1:27" x14ac:dyDescent="0.35">
      <c r="A274" s="7" t="s">
        <v>1719</v>
      </c>
      <c r="B274" s="4" t="s">
        <v>1720</v>
      </c>
      <c r="D274" s="4" t="s">
        <v>1721</v>
      </c>
      <c r="E274" s="4" t="s">
        <v>1709</v>
      </c>
      <c r="F274" s="4" t="s">
        <v>116</v>
      </c>
      <c r="G274" s="4">
        <v>37</v>
      </c>
      <c r="H274" s="4" t="s">
        <v>1722</v>
      </c>
      <c r="J274" s="4" t="s">
        <v>360</v>
      </c>
      <c r="K274" s="4" t="s">
        <v>106</v>
      </c>
      <c r="L274" s="4" t="s">
        <v>119</v>
      </c>
      <c r="M274" s="4">
        <f>47/1000</f>
        <v>4.7E-2</v>
      </c>
      <c r="N274" s="4" t="s">
        <v>120</v>
      </c>
      <c r="O274" s="4" t="s">
        <v>1687</v>
      </c>
      <c r="T274" s="4" t="s">
        <v>1723</v>
      </c>
      <c r="U274" s="4" t="s">
        <v>1680</v>
      </c>
      <c r="V274" s="4" t="s">
        <v>1718</v>
      </c>
      <c r="Y274" s="6">
        <v>44720</v>
      </c>
      <c r="Z274" s="6">
        <v>45056</v>
      </c>
      <c r="AA274" s="6">
        <v>44734</v>
      </c>
    </row>
    <row r="275" spans="1:27" x14ac:dyDescent="0.35">
      <c r="A275" s="7" t="s">
        <v>2593</v>
      </c>
      <c r="B275" s="4" t="s">
        <v>1724</v>
      </c>
      <c r="D275" s="4" t="s">
        <v>1725</v>
      </c>
      <c r="E275" s="4" t="s">
        <v>1726</v>
      </c>
      <c r="F275" s="4" t="s">
        <v>116</v>
      </c>
      <c r="G275" s="4">
        <v>57</v>
      </c>
      <c r="H275" s="4" t="s">
        <v>1727</v>
      </c>
      <c r="J275" s="4" t="s">
        <v>360</v>
      </c>
      <c r="K275" s="4" t="s">
        <v>106</v>
      </c>
      <c r="L275" s="4" t="s">
        <v>119</v>
      </c>
      <c r="M275" s="4">
        <f>39/1000</f>
        <v>3.9E-2</v>
      </c>
      <c r="N275" s="4" t="s">
        <v>120</v>
      </c>
      <c r="T275" s="4" t="s">
        <v>1695</v>
      </c>
      <c r="U275" s="4" t="s">
        <v>1696</v>
      </c>
      <c r="V275" s="4" t="s">
        <v>1728</v>
      </c>
      <c r="Y275" s="6">
        <v>44720</v>
      </c>
      <c r="Z275" s="6">
        <v>45056</v>
      </c>
      <c r="AA275" s="6">
        <v>44734</v>
      </c>
    </row>
    <row r="276" spans="1:27" x14ac:dyDescent="0.35">
      <c r="A276" s="7" t="s">
        <v>1729</v>
      </c>
      <c r="B276" s="4" t="s">
        <v>1730</v>
      </c>
      <c r="D276" s="4" t="s">
        <v>1731</v>
      </c>
      <c r="E276" s="4" t="s">
        <v>1732</v>
      </c>
      <c r="F276" s="4" t="s">
        <v>116</v>
      </c>
      <c r="G276" s="4">
        <v>44</v>
      </c>
      <c r="H276" s="4" t="s">
        <v>1733</v>
      </c>
      <c r="J276" s="4" t="s">
        <v>360</v>
      </c>
      <c r="K276" s="4" t="s">
        <v>106</v>
      </c>
      <c r="L276" s="4" t="s">
        <v>119</v>
      </c>
      <c r="M276" s="4">
        <f>32/1000</f>
        <v>3.2000000000000001E-2</v>
      </c>
      <c r="N276" s="4" t="s">
        <v>120</v>
      </c>
      <c r="O276" s="4" t="s">
        <v>1687</v>
      </c>
      <c r="T276" s="4" t="s">
        <v>1723</v>
      </c>
      <c r="U276" s="4" t="s">
        <v>1680</v>
      </c>
      <c r="V276" s="4" t="s">
        <v>1734</v>
      </c>
      <c r="Y276" s="6">
        <v>44720</v>
      </c>
      <c r="Z276" s="6">
        <v>45056</v>
      </c>
      <c r="AA276" s="6">
        <v>44734</v>
      </c>
    </row>
    <row r="277" spans="1:27" x14ac:dyDescent="0.35">
      <c r="A277" s="7" t="s">
        <v>1735</v>
      </c>
      <c r="B277" s="4" t="s">
        <v>1736</v>
      </c>
      <c r="D277" s="4" t="s">
        <v>1737</v>
      </c>
      <c r="E277" s="4" t="s">
        <v>1738</v>
      </c>
      <c r="F277" s="4" t="s">
        <v>116</v>
      </c>
      <c r="G277" s="4">
        <v>50</v>
      </c>
      <c r="H277" s="4" t="s">
        <v>1739</v>
      </c>
      <c r="J277" s="4" t="s">
        <v>360</v>
      </c>
      <c r="K277" s="4" t="s">
        <v>106</v>
      </c>
      <c r="L277" s="4" t="s">
        <v>119</v>
      </c>
      <c r="M277" s="4">
        <f>17/1000</f>
        <v>1.7000000000000001E-2</v>
      </c>
      <c r="N277" s="4" t="s">
        <v>120</v>
      </c>
      <c r="T277" s="4" t="s">
        <v>1740</v>
      </c>
      <c r="U277" s="4" t="s">
        <v>1741</v>
      </c>
      <c r="V277" s="4" t="s">
        <v>1742</v>
      </c>
      <c r="Y277" s="6">
        <v>44720</v>
      </c>
      <c r="Z277" s="6">
        <v>45056</v>
      </c>
      <c r="AA277" s="6">
        <v>44734</v>
      </c>
    </row>
    <row r="278" spans="1:27" x14ac:dyDescent="0.35">
      <c r="A278" s="7" t="s">
        <v>1743</v>
      </c>
      <c r="B278" s="4" t="s">
        <v>1744</v>
      </c>
      <c r="D278" s="4" t="s">
        <v>1745</v>
      </c>
      <c r="E278" s="4" t="s">
        <v>1746</v>
      </c>
      <c r="F278" s="4" t="s">
        <v>116</v>
      </c>
      <c r="G278" s="4">
        <v>33</v>
      </c>
      <c r="H278" s="4" t="s">
        <v>1747</v>
      </c>
      <c r="J278" s="4" t="s">
        <v>360</v>
      </c>
      <c r="K278" s="4" t="s">
        <v>106</v>
      </c>
      <c r="L278" s="4" t="s">
        <v>119</v>
      </c>
      <c r="M278" s="4">
        <f>6/1000</f>
        <v>6.0000000000000001E-3</v>
      </c>
      <c r="N278" s="4" t="s">
        <v>120</v>
      </c>
      <c r="O278" s="4" t="s">
        <v>121</v>
      </c>
      <c r="T278" s="4" t="s">
        <v>1748</v>
      </c>
      <c r="U278" s="4" t="s">
        <v>1696</v>
      </c>
      <c r="V278" s="4" t="s">
        <v>1749</v>
      </c>
      <c r="Y278" s="6">
        <v>44720</v>
      </c>
      <c r="Z278" s="6">
        <v>45056</v>
      </c>
      <c r="AA278" s="6">
        <v>44734</v>
      </c>
    </row>
    <row r="279" spans="1:27" x14ac:dyDescent="0.35">
      <c r="A279" s="7" t="s">
        <v>2594</v>
      </c>
      <c r="B279" s="4" t="s">
        <v>2451</v>
      </c>
      <c r="D279" s="4" t="s">
        <v>2509</v>
      </c>
      <c r="E279" s="4" t="s">
        <v>2513</v>
      </c>
      <c r="F279" s="4" t="s">
        <v>116</v>
      </c>
      <c r="G279" s="4">
        <v>15</v>
      </c>
      <c r="J279" s="4" t="s">
        <v>360</v>
      </c>
      <c r="K279" s="4" t="s">
        <v>106</v>
      </c>
      <c r="L279" s="4" t="s">
        <v>119</v>
      </c>
      <c r="M279" s="4">
        <f>13.83/1000</f>
        <v>1.383E-2</v>
      </c>
      <c r="N279" s="4" t="s">
        <v>120</v>
      </c>
      <c r="T279" s="4" t="s">
        <v>738</v>
      </c>
      <c r="W279" s="4" t="s">
        <v>2514</v>
      </c>
      <c r="Y279" s="6"/>
      <c r="Z279" s="6"/>
      <c r="AA279" s="6">
        <v>45201</v>
      </c>
    </row>
    <row r="280" spans="1:27" x14ac:dyDescent="0.35">
      <c r="A280" s="7" t="s">
        <v>1750</v>
      </c>
      <c r="B280" s="4" t="s">
        <v>1751</v>
      </c>
      <c r="D280" s="4" t="s">
        <v>1752</v>
      </c>
      <c r="E280" s="4" t="s">
        <v>1753</v>
      </c>
      <c r="F280" s="4" t="s">
        <v>116</v>
      </c>
      <c r="G280" s="4">
        <v>5</v>
      </c>
      <c r="J280" s="4" t="s">
        <v>360</v>
      </c>
      <c r="K280" s="4" t="s">
        <v>106</v>
      </c>
      <c r="L280" s="4" t="s">
        <v>119</v>
      </c>
      <c r="M280" s="4">
        <f>7.94/1000</f>
        <v>7.9400000000000009E-3</v>
      </c>
      <c r="N280" s="4" t="s">
        <v>120</v>
      </c>
      <c r="S280" s="4" t="s">
        <v>1754</v>
      </c>
      <c r="T280" s="4" t="s">
        <v>1755</v>
      </c>
      <c r="V280" s="4" t="s">
        <v>1756</v>
      </c>
      <c r="Y280" s="6">
        <v>44720</v>
      </c>
      <c r="Z280" s="6"/>
      <c r="AA280" s="6">
        <v>44734</v>
      </c>
    </row>
    <row r="281" spans="1:27" x14ac:dyDescent="0.35">
      <c r="A281" s="7" t="s">
        <v>1757</v>
      </c>
      <c r="B281" s="4" t="s">
        <v>1758</v>
      </c>
      <c r="D281" s="4" t="s">
        <v>1759</v>
      </c>
      <c r="E281" s="4" t="s">
        <v>1760</v>
      </c>
      <c r="F281" s="4" t="s">
        <v>116</v>
      </c>
      <c r="G281" s="4">
        <v>14</v>
      </c>
      <c r="H281" s="4" t="s">
        <v>1761</v>
      </c>
      <c r="J281" s="4" t="s">
        <v>105</v>
      </c>
      <c r="K281" s="4" t="s">
        <v>36</v>
      </c>
      <c r="L281" s="4" t="s">
        <v>1762</v>
      </c>
      <c r="M281" s="4">
        <f>8.35/1000</f>
        <v>8.3499999999999998E-3</v>
      </c>
      <c r="N281" s="4" t="s">
        <v>60</v>
      </c>
      <c r="T281" s="4" t="s">
        <v>1763</v>
      </c>
      <c r="U281" s="4" t="s">
        <v>1764</v>
      </c>
      <c r="V281" s="4" t="s">
        <v>1765</v>
      </c>
      <c r="Y281" s="6">
        <v>44720</v>
      </c>
      <c r="Z281" s="6"/>
      <c r="AA281" s="6">
        <v>45097</v>
      </c>
    </row>
    <row r="282" spans="1:27" x14ac:dyDescent="0.35">
      <c r="A282" s="7" t="s">
        <v>1766</v>
      </c>
      <c r="B282" s="4" t="s">
        <v>1767</v>
      </c>
      <c r="D282" s="4" t="s">
        <v>1768</v>
      </c>
      <c r="E282" s="4" t="s">
        <v>1769</v>
      </c>
      <c r="F282" s="4" t="s">
        <v>103</v>
      </c>
      <c r="G282" s="4">
        <v>0.3</v>
      </c>
      <c r="H282" s="4" t="s">
        <v>1770</v>
      </c>
      <c r="I282" s="4" t="s">
        <v>10</v>
      </c>
      <c r="J282" s="4" t="s">
        <v>853</v>
      </c>
      <c r="K282" s="4" t="s">
        <v>106</v>
      </c>
      <c r="L282" s="4" t="s">
        <v>181</v>
      </c>
      <c r="M282" s="4">
        <f>0.5307692/1000</f>
        <v>5.3076920000000001E-4</v>
      </c>
      <c r="N282" s="4" t="s">
        <v>341</v>
      </c>
      <c r="T282" s="4" t="s">
        <v>1251</v>
      </c>
      <c r="U282" s="4" t="s">
        <v>1771</v>
      </c>
      <c r="V282" s="4" t="s">
        <v>1772</v>
      </c>
      <c r="Y282" s="6">
        <v>44720</v>
      </c>
      <c r="Z282" s="6">
        <v>45056</v>
      </c>
      <c r="AA282" s="6">
        <v>44734</v>
      </c>
    </row>
    <row r="283" spans="1:27" x14ac:dyDescent="0.35">
      <c r="A283" s="7" t="s">
        <v>1773</v>
      </c>
      <c r="B283" s="4" t="s">
        <v>1774</v>
      </c>
      <c r="D283" s="4" t="s">
        <v>1775</v>
      </c>
      <c r="E283" s="4" t="s">
        <v>1776</v>
      </c>
      <c r="F283" s="4" t="s">
        <v>87</v>
      </c>
      <c r="G283" s="4">
        <v>2.9</v>
      </c>
      <c r="H283" s="4" t="s">
        <v>1777</v>
      </c>
      <c r="J283" s="4" t="s">
        <v>853</v>
      </c>
      <c r="K283" s="4" t="s">
        <v>106</v>
      </c>
      <c r="L283" s="4" t="s">
        <v>181</v>
      </c>
      <c r="N283" s="4" t="s">
        <v>341</v>
      </c>
      <c r="T283" s="4" t="s">
        <v>1251</v>
      </c>
      <c r="U283" s="4" t="s">
        <v>1778</v>
      </c>
      <c r="Y283" s="6">
        <v>44720</v>
      </c>
      <c r="Z283" s="6">
        <v>45057</v>
      </c>
    </row>
    <row r="284" spans="1:27" x14ac:dyDescent="0.35">
      <c r="A284" s="7" t="s">
        <v>1779</v>
      </c>
      <c r="B284" s="4" t="s">
        <v>1780</v>
      </c>
      <c r="D284" s="4" t="s">
        <v>1781</v>
      </c>
      <c r="F284" s="4" t="s">
        <v>178</v>
      </c>
      <c r="G284" s="4">
        <v>0.35</v>
      </c>
      <c r="H284" s="4" t="s">
        <v>1782</v>
      </c>
      <c r="J284" s="4" t="s">
        <v>180</v>
      </c>
      <c r="K284" s="4" t="s">
        <v>106</v>
      </c>
      <c r="L284" s="4" t="s">
        <v>181</v>
      </c>
      <c r="M284" s="4">
        <f>0.3/1000</f>
        <v>2.9999999999999997E-4</v>
      </c>
      <c r="N284" s="4" t="s">
        <v>121</v>
      </c>
      <c r="O284" s="4" t="s">
        <v>60</v>
      </c>
      <c r="P284" s="4" t="s">
        <v>2415</v>
      </c>
      <c r="Q284" s="4" t="s">
        <v>49</v>
      </c>
      <c r="T284" s="4" t="s">
        <v>1783</v>
      </c>
      <c r="V284" s="4" t="s">
        <v>1784</v>
      </c>
      <c r="Y284" s="6">
        <v>44720</v>
      </c>
      <c r="Z284" s="6"/>
      <c r="AA284" s="6">
        <v>44734</v>
      </c>
    </row>
    <row r="285" spans="1:27" x14ac:dyDescent="0.35">
      <c r="A285" s="7" t="s">
        <v>1785</v>
      </c>
      <c r="B285" s="4" t="s">
        <v>1786</v>
      </c>
      <c r="D285" s="4" t="s">
        <v>1787</v>
      </c>
      <c r="E285" s="4" t="s">
        <v>1788</v>
      </c>
      <c r="F285" s="4" t="s">
        <v>87</v>
      </c>
      <c r="G285" s="4">
        <v>2</v>
      </c>
      <c r="H285" s="4" t="s">
        <v>1789</v>
      </c>
      <c r="J285" s="4" t="s">
        <v>105</v>
      </c>
      <c r="K285" s="4" t="s">
        <v>106</v>
      </c>
      <c r="L285" s="4" t="s">
        <v>37</v>
      </c>
      <c r="M285" s="4">
        <f>9.65/1000</f>
        <v>9.6500000000000006E-3</v>
      </c>
      <c r="N285" s="4" t="s">
        <v>38</v>
      </c>
      <c r="O285" s="4" t="s">
        <v>2415</v>
      </c>
      <c r="P285" s="4" t="s">
        <v>49</v>
      </c>
      <c r="T285" s="4" t="s">
        <v>89</v>
      </c>
      <c r="U285" s="4" t="s">
        <v>1790</v>
      </c>
      <c r="V285" s="4" t="s">
        <v>1791</v>
      </c>
      <c r="Y285" s="6">
        <v>44720</v>
      </c>
      <c r="Z285" s="6">
        <v>45057</v>
      </c>
      <c r="AA285" s="6">
        <v>45057</v>
      </c>
    </row>
    <row r="286" spans="1:27" x14ac:dyDescent="0.35">
      <c r="A286" s="7" t="s">
        <v>1792</v>
      </c>
      <c r="B286" s="4" t="s">
        <v>1793</v>
      </c>
      <c r="K286" s="4" t="s">
        <v>348</v>
      </c>
      <c r="Y286" s="6">
        <v>44720</v>
      </c>
      <c r="Z286" s="6"/>
    </row>
    <row r="287" spans="1:27" x14ac:dyDescent="0.35">
      <c r="A287" s="7" t="s">
        <v>1794</v>
      </c>
      <c r="B287" s="4" t="s">
        <v>1795</v>
      </c>
      <c r="D287" s="4" t="s">
        <v>1796</v>
      </c>
      <c r="F287" s="4" t="s">
        <v>87</v>
      </c>
      <c r="G287" s="4">
        <v>3</v>
      </c>
      <c r="J287" s="4" t="s">
        <v>1797</v>
      </c>
      <c r="K287" s="4" t="s">
        <v>106</v>
      </c>
      <c r="L287" s="4" t="s">
        <v>37</v>
      </c>
      <c r="M287" s="4">
        <f>0.779/1000</f>
        <v>7.7900000000000007E-4</v>
      </c>
      <c r="N287" s="4" t="s">
        <v>38</v>
      </c>
      <c r="T287" s="4" t="s">
        <v>1798</v>
      </c>
      <c r="V287" s="4" t="s">
        <v>1799</v>
      </c>
      <c r="Y287" s="6">
        <v>44727</v>
      </c>
      <c r="Z287" s="6"/>
      <c r="AA287" s="6">
        <v>44734</v>
      </c>
    </row>
    <row r="288" spans="1:27" x14ac:dyDescent="0.35">
      <c r="A288" s="7" t="s">
        <v>1800</v>
      </c>
      <c r="B288" s="4" t="s">
        <v>1801</v>
      </c>
      <c r="D288" s="4" t="s">
        <v>1802</v>
      </c>
      <c r="E288" s="4" t="s">
        <v>1803</v>
      </c>
      <c r="F288" s="4" t="s">
        <v>116</v>
      </c>
      <c r="G288" s="4">
        <v>25</v>
      </c>
      <c r="H288" s="4" t="s">
        <v>1804</v>
      </c>
      <c r="I288" s="4" t="s">
        <v>10</v>
      </c>
      <c r="J288" s="4" t="s">
        <v>105</v>
      </c>
      <c r="K288" s="4" t="s">
        <v>106</v>
      </c>
      <c r="L288" s="4" t="s">
        <v>1805</v>
      </c>
      <c r="M288" s="4">
        <f>0.32/1000</f>
        <v>3.2000000000000003E-4</v>
      </c>
      <c r="N288" s="4" t="s">
        <v>2415</v>
      </c>
      <c r="O288" s="4" t="s">
        <v>49</v>
      </c>
      <c r="T288" s="4" t="s">
        <v>1806</v>
      </c>
      <c r="V288" s="4" t="s">
        <v>1807</v>
      </c>
      <c r="Y288" s="6">
        <v>44720</v>
      </c>
      <c r="Z288" s="6"/>
      <c r="AA288" s="6">
        <v>44734</v>
      </c>
    </row>
    <row r="289" spans="1:27" x14ac:dyDescent="0.35">
      <c r="A289" s="7" t="s">
        <v>1808</v>
      </c>
      <c r="B289" s="4" t="s">
        <v>1809</v>
      </c>
      <c r="D289" s="4" t="s">
        <v>1810</v>
      </c>
      <c r="E289" s="4" t="s">
        <v>1811</v>
      </c>
      <c r="F289" s="4" t="s">
        <v>103</v>
      </c>
      <c r="G289" s="4">
        <v>0</v>
      </c>
      <c r="H289" s="4" t="s">
        <v>1812</v>
      </c>
      <c r="I289" s="4" t="s">
        <v>10</v>
      </c>
      <c r="J289" s="4" t="s">
        <v>158</v>
      </c>
      <c r="K289" s="4" t="s">
        <v>200</v>
      </c>
      <c r="M289" s="4">
        <f>2.5/1000</f>
        <v>2.5000000000000001E-3</v>
      </c>
      <c r="N289" s="4" t="s">
        <v>60</v>
      </c>
      <c r="T289" s="4" t="s">
        <v>27</v>
      </c>
      <c r="U289" s="4" t="s">
        <v>1813</v>
      </c>
      <c r="V289" s="4" t="s">
        <v>1814</v>
      </c>
      <c r="W289" s="4" t="s">
        <v>2392</v>
      </c>
      <c r="Y289" s="6">
        <v>44720</v>
      </c>
      <c r="Z289" s="6">
        <v>45057</v>
      </c>
    </row>
    <row r="290" spans="1:27" x14ac:dyDescent="0.35">
      <c r="A290" s="7" t="s">
        <v>1815</v>
      </c>
      <c r="B290" s="4" t="s">
        <v>1816</v>
      </c>
      <c r="D290" s="4" t="s">
        <v>1817</v>
      </c>
      <c r="E290" s="4" t="s">
        <v>1818</v>
      </c>
      <c r="F290" s="4" t="s">
        <v>116</v>
      </c>
      <c r="G290" s="4">
        <v>12</v>
      </c>
      <c r="H290" s="4" t="s">
        <v>1819</v>
      </c>
      <c r="J290" s="4" t="s">
        <v>675</v>
      </c>
      <c r="K290" s="4" t="s">
        <v>36</v>
      </c>
      <c r="L290" s="4" t="s">
        <v>36</v>
      </c>
      <c r="M290" s="4">
        <f>183.08/1000</f>
        <v>0.18308000000000002</v>
      </c>
      <c r="N290" s="4" t="s">
        <v>60</v>
      </c>
      <c r="T290" s="4" t="s">
        <v>1820</v>
      </c>
      <c r="U290" s="4" t="s">
        <v>1821</v>
      </c>
      <c r="V290" s="4" t="s">
        <v>1822</v>
      </c>
      <c r="Y290" s="6">
        <v>44720</v>
      </c>
      <c r="Z290" s="6">
        <v>45098</v>
      </c>
      <c r="AA290" s="6">
        <v>45098</v>
      </c>
    </row>
    <row r="291" spans="1:27" x14ac:dyDescent="0.35">
      <c r="A291" s="7" t="s">
        <v>1823</v>
      </c>
      <c r="B291" s="4" t="s">
        <v>1824</v>
      </c>
      <c r="D291" s="4" t="s">
        <v>1825</v>
      </c>
      <c r="E291" s="4" t="s">
        <v>1826</v>
      </c>
      <c r="F291" s="4" t="s">
        <v>116</v>
      </c>
      <c r="G291" s="4">
        <v>8</v>
      </c>
      <c r="H291" s="4" t="s">
        <v>1827</v>
      </c>
      <c r="J291" s="4" t="s">
        <v>675</v>
      </c>
      <c r="K291" s="4" t="s">
        <v>36</v>
      </c>
      <c r="L291" s="4" t="s">
        <v>36</v>
      </c>
      <c r="N291" s="4" t="s">
        <v>60</v>
      </c>
      <c r="T291" s="4" t="s">
        <v>776</v>
      </c>
      <c r="U291" s="4" t="s">
        <v>1828</v>
      </c>
      <c r="Y291" s="6">
        <v>44720</v>
      </c>
      <c r="Z291" s="6"/>
    </row>
    <row r="292" spans="1:27" x14ac:dyDescent="0.35">
      <c r="A292" s="7" t="s">
        <v>1829</v>
      </c>
      <c r="B292" s="4" t="s">
        <v>1830</v>
      </c>
      <c r="C292" s="4" t="s">
        <v>1831</v>
      </c>
      <c r="D292" s="4" t="s">
        <v>1832</v>
      </c>
      <c r="E292" s="4" t="s">
        <v>1833</v>
      </c>
      <c r="F292" s="4" t="s">
        <v>116</v>
      </c>
      <c r="G292" s="4">
        <v>6</v>
      </c>
      <c r="H292" s="4" t="s">
        <v>1834</v>
      </c>
      <c r="I292" s="4" t="s">
        <v>10</v>
      </c>
      <c r="J292" s="4" t="s">
        <v>675</v>
      </c>
      <c r="K292" s="4" t="s">
        <v>36</v>
      </c>
      <c r="L292" s="4" t="s">
        <v>36</v>
      </c>
      <c r="M292" s="4">
        <f>704.17/1000</f>
        <v>0.70416999999999996</v>
      </c>
      <c r="N292" s="4" t="s">
        <v>60</v>
      </c>
      <c r="T292" s="4" t="s">
        <v>1835</v>
      </c>
      <c r="V292" s="4" t="s">
        <v>1836</v>
      </c>
      <c r="Y292" s="6">
        <v>44720</v>
      </c>
      <c r="Z292" s="6">
        <v>45098</v>
      </c>
      <c r="AA292" s="6">
        <v>45098</v>
      </c>
    </row>
    <row r="293" spans="1:27" x14ac:dyDescent="0.35">
      <c r="A293" s="7" t="s">
        <v>1837</v>
      </c>
      <c r="B293" s="4" t="s">
        <v>1838</v>
      </c>
      <c r="D293" s="4" t="s">
        <v>1839</v>
      </c>
      <c r="E293" s="4" t="s">
        <v>1840</v>
      </c>
      <c r="F293" s="4" t="s">
        <v>33</v>
      </c>
      <c r="G293" s="4">
        <v>10</v>
      </c>
      <c r="H293" s="4" t="s">
        <v>1841</v>
      </c>
      <c r="I293" s="4" t="s">
        <v>10</v>
      </c>
      <c r="J293" s="4" t="s">
        <v>675</v>
      </c>
      <c r="K293" s="4" t="s">
        <v>36</v>
      </c>
      <c r="L293" s="4" t="s">
        <v>36</v>
      </c>
      <c r="M293" s="4">
        <f>267.3/1000</f>
        <v>0.26730000000000004</v>
      </c>
      <c r="N293" s="4" t="s">
        <v>60</v>
      </c>
      <c r="T293" s="4" t="s">
        <v>1842</v>
      </c>
      <c r="U293" s="4" t="s">
        <v>1029</v>
      </c>
      <c r="Y293" s="6">
        <v>44720</v>
      </c>
      <c r="Z293" s="6">
        <v>45098</v>
      </c>
      <c r="AA293" s="6">
        <v>45098</v>
      </c>
    </row>
    <row r="294" spans="1:27" x14ac:dyDescent="0.35">
      <c r="A294" s="7" t="s">
        <v>2595</v>
      </c>
      <c r="B294" s="4" t="s">
        <v>2452</v>
      </c>
      <c r="D294" s="4" t="s">
        <v>2515</v>
      </c>
      <c r="E294" s="4" t="s">
        <v>2516</v>
      </c>
      <c r="F294" s="4" t="s">
        <v>33</v>
      </c>
      <c r="G294" s="4">
        <v>7</v>
      </c>
      <c r="H294" s="4" t="s">
        <v>2517</v>
      </c>
      <c r="J294" s="4" t="s">
        <v>675</v>
      </c>
      <c r="K294" s="4" t="s">
        <v>36</v>
      </c>
      <c r="L294" s="4" t="s">
        <v>36</v>
      </c>
      <c r="M294" s="4">
        <f>42.71/1000</f>
        <v>4.2709999999999998E-2</v>
      </c>
      <c r="N294" s="4" t="s">
        <v>60</v>
      </c>
      <c r="T294" s="4" t="s">
        <v>776</v>
      </c>
      <c r="U294" s="4" t="s">
        <v>2518</v>
      </c>
      <c r="Y294" s="6"/>
      <c r="Z294" s="6"/>
      <c r="AA294" s="6">
        <v>45202</v>
      </c>
    </row>
    <row r="295" spans="1:27" x14ac:dyDescent="0.35">
      <c r="A295" s="7" t="s">
        <v>1843</v>
      </c>
      <c r="B295" s="4" t="s">
        <v>1844</v>
      </c>
      <c r="D295" s="4" t="s">
        <v>1845</v>
      </c>
      <c r="E295" s="4" t="s">
        <v>1846</v>
      </c>
      <c r="F295" s="4" t="s">
        <v>116</v>
      </c>
      <c r="G295" s="4">
        <v>15</v>
      </c>
      <c r="J295" s="4" t="s">
        <v>675</v>
      </c>
      <c r="K295" s="4" t="s">
        <v>36</v>
      </c>
      <c r="L295" s="4" t="s">
        <v>36</v>
      </c>
      <c r="M295" s="4">
        <f>83.9/1000</f>
        <v>8.3900000000000002E-2</v>
      </c>
      <c r="N295" s="4" t="s">
        <v>60</v>
      </c>
      <c r="T295" s="4" t="s">
        <v>1847</v>
      </c>
      <c r="V295" s="4" t="s">
        <v>1848</v>
      </c>
      <c r="W295" s="4" t="s">
        <v>411</v>
      </c>
      <c r="Y295" s="6">
        <v>44720</v>
      </c>
      <c r="Z295" s="6"/>
      <c r="AA295" s="6">
        <v>45098</v>
      </c>
    </row>
    <row r="296" spans="1:27" x14ac:dyDescent="0.35">
      <c r="A296" s="7" t="s">
        <v>1849</v>
      </c>
      <c r="B296" s="4" t="s">
        <v>1850</v>
      </c>
      <c r="D296" s="4" t="s">
        <v>1851</v>
      </c>
      <c r="E296" s="4" t="s">
        <v>1852</v>
      </c>
      <c r="F296" s="4" t="s">
        <v>116</v>
      </c>
      <c r="G296" s="4">
        <v>12</v>
      </c>
      <c r="H296" s="4" t="s">
        <v>1853</v>
      </c>
      <c r="J296" s="4" t="s">
        <v>675</v>
      </c>
      <c r="K296" s="4" t="s">
        <v>36</v>
      </c>
      <c r="L296" s="4" t="s">
        <v>36</v>
      </c>
      <c r="M296" s="4">
        <f>52.91/1000</f>
        <v>5.2909999999999999E-2</v>
      </c>
      <c r="N296" s="4" t="s">
        <v>60</v>
      </c>
      <c r="T296" s="4" t="s">
        <v>140</v>
      </c>
      <c r="U296" s="4" t="s">
        <v>1854</v>
      </c>
      <c r="Y296" s="6">
        <v>44720</v>
      </c>
      <c r="Z296" s="6"/>
      <c r="AA296" s="6">
        <v>45098</v>
      </c>
    </row>
    <row r="297" spans="1:27" x14ac:dyDescent="0.35">
      <c r="A297" s="7" t="s">
        <v>2596</v>
      </c>
      <c r="B297" s="4" t="s">
        <v>1855</v>
      </c>
      <c r="D297" s="4" t="s">
        <v>1856</v>
      </c>
      <c r="E297" s="4" t="s">
        <v>1857</v>
      </c>
      <c r="G297" s="4">
        <v>5</v>
      </c>
      <c r="H297" s="4" t="s">
        <v>1858</v>
      </c>
      <c r="I297" s="4" t="s">
        <v>10</v>
      </c>
      <c r="J297" s="4" t="s">
        <v>180</v>
      </c>
      <c r="K297" s="4" t="s">
        <v>106</v>
      </c>
      <c r="X297" s="4" t="s">
        <v>199</v>
      </c>
      <c r="Y297" s="6">
        <v>44720</v>
      </c>
      <c r="Z297" s="6">
        <v>45057</v>
      </c>
    </row>
    <row r="298" spans="1:27" x14ac:dyDescent="0.35">
      <c r="A298" s="7" t="s">
        <v>1859</v>
      </c>
      <c r="B298" s="4" t="s">
        <v>1860</v>
      </c>
      <c r="D298" s="4" t="s">
        <v>1861</v>
      </c>
      <c r="E298" s="4" t="s">
        <v>1862</v>
      </c>
      <c r="F298" s="4" t="s">
        <v>116</v>
      </c>
      <c r="G298" s="4">
        <v>60</v>
      </c>
      <c r="H298" s="4" t="s">
        <v>1863</v>
      </c>
      <c r="J298" s="4" t="s">
        <v>360</v>
      </c>
      <c r="K298" s="4" t="s">
        <v>106</v>
      </c>
      <c r="L298" s="4" t="s">
        <v>119</v>
      </c>
      <c r="M298" s="4">
        <f>10.7/1000</f>
        <v>1.0699999999999999E-2</v>
      </c>
      <c r="N298" s="4" t="s">
        <v>120</v>
      </c>
      <c r="T298" s="4" t="s">
        <v>1864</v>
      </c>
      <c r="U298" s="4" t="s">
        <v>1865</v>
      </c>
      <c r="V298" s="4" t="s">
        <v>1866</v>
      </c>
      <c r="Y298" s="6">
        <v>44720</v>
      </c>
      <c r="Z298" s="6">
        <v>45057</v>
      </c>
      <c r="AA298" s="6">
        <v>44734</v>
      </c>
    </row>
    <row r="299" spans="1:27" x14ac:dyDescent="0.35">
      <c r="A299" s="7" t="s">
        <v>2597</v>
      </c>
      <c r="B299" s="4" t="s">
        <v>1867</v>
      </c>
      <c r="C299" s="4" t="s">
        <v>1868</v>
      </c>
      <c r="D299" s="4" t="s">
        <v>1869</v>
      </c>
      <c r="E299" s="4" t="s">
        <v>1870</v>
      </c>
      <c r="F299" s="4" t="s">
        <v>33</v>
      </c>
      <c r="G299" s="4">
        <v>6</v>
      </c>
      <c r="H299" s="4" t="s">
        <v>1871</v>
      </c>
      <c r="J299" s="4" t="s">
        <v>1004</v>
      </c>
      <c r="K299" s="4" t="s">
        <v>36</v>
      </c>
      <c r="L299" s="4" t="s">
        <v>36</v>
      </c>
      <c r="N299" s="4" t="s">
        <v>60</v>
      </c>
      <c r="T299" s="4" t="s">
        <v>1872</v>
      </c>
      <c r="U299" s="4" t="s">
        <v>1873</v>
      </c>
      <c r="V299" s="4" t="s">
        <v>1874</v>
      </c>
      <c r="Y299" s="6">
        <v>44720</v>
      </c>
      <c r="Z299" s="6"/>
    </row>
    <row r="300" spans="1:27" x14ac:dyDescent="0.35">
      <c r="A300" s="7" t="s">
        <v>1875</v>
      </c>
      <c r="B300" s="4" t="s">
        <v>1876</v>
      </c>
      <c r="D300" s="4" t="s">
        <v>1877</v>
      </c>
      <c r="E300" s="4" t="s">
        <v>1878</v>
      </c>
      <c r="F300" s="4" t="s">
        <v>33</v>
      </c>
      <c r="G300" s="4">
        <v>3</v>
      </c>
      <c r="H300" s="4" t="s">
        <v>1879</v>
      </c>
      <c r="J300" s="4" t="s">
        <v>1004</v>
      </c>
      <c r="K300" s="4" t="s">
        <v>36</v>
      </c>
      <c r="L300" s="4" t="s">
        <v>36</v>
      </c>
      <c r="M300" s="4">
        <f>11.71/1000</f>
        <v>1.1710000000000002E-2</v>
      </c>
      <c r="N300" s="4" t="s">
        <v>60</v>
      </c>
      <c r="T300" s="4" t="s">
        <v>1880</v>
      </c>
      <c r="U300" s="4" t="s">
        <v>1881</v>
      </c>
      <c r="V300" s="4" t="s">
        <v>1882</v>
      </c>
      <c r="Y300" s="6">
        <v>44720</v>
      </c>
      <c r="Z300" s="6">
        <v>45098</v>
      </c>
      <c r="AA300" s="6">
        <v>45098</v>
      </c>
    </row>
    <row r="301" spans="1:27" x14ac:dyDescent="0.35">
      <c r="A301" s="7" t="s">
        <v>1883</v>
      </c>
      <c r="B301" s="4" t="s">
        <v>1884</v>
      </c>
      <c r="D301" s="4" t="s">
        <v>1885</v>
      </c>
      <c r="E301" s="4" t="s">
        <v>1886</v>
      </c>
      <c r="F301" s="4" t="s">
        <v>33</v>
      </c>
      <c r="G301" s="4">
        <v>5</v>
      </c>
      <c r="H301" s="4" t="s">
        <v>1887</v>
      </c>
      <c r="J301" s="4" t="s">
        <v>447</v>
      </c>
      <c r="K301" s="4" t="s">
        <v>106</v>
      </c>
      <c r="L301" s="4" t="s">
        <v>181</v>
      </c>
      <c r="M301" s="4">
        <f>6.98/1000</f>
        <v>6.9800000000000001E-3</v>
      </c>
      <c r="N301" s="4" t="s">
        <v>49</v>
      </c>
      <c r="T301" s="4" t="s">
        <v>1888</v>
      </c>
      <c r="U301" s="4" t="s">
        <v>1228</v>
      </c>
      <c r="V301" s="4" t="s">
        <v>1889</v>
      </c>
      <c r="Y301" s="6">
        <v>44720</v>
      </c>
      <c r="Z301" s="6">
        <v>45057</v>
      </c>
      <c r="AA301" s="6">
        <v>44734</v>
      </c>
    </row>
    <row r="302" spans="1:27" x14ac:dyDescent="0.35">
      <c r="A302" s="7" t="s">
        <v>1890</v>
      </c>
      <c r="B302" s="4" t="s">
        <v>1891</v>
      </c>
      <c r="K302" s="4" t="s">
        <v>348</v>
      </c>
      <c r="Y302" s="6">
        <v>44720</v>
      </c>
      <c r="Z302" s="6"/>
    </row>
    <row r="303" spans="1:27" x14ac:dyDescent="0.35">
      <c r="A303" s="7" t="s">
        <v>2598</v>
      </c>
      <c r="B303" s="4" t="s">
        <v>2642</v>
      </c>
      <c r="C303" s="4" t="s">
        <v>2643</v>
      </c>
      <c r="D303" s="4" t="s">
        <v>1892</v>
      </c>
      <c r="E303" s="4" t="s">
        <v>2650</v>
      </c>
      <c r="F303" s="4" t="s">
        <v>130</v>
      </c>
      <c r="H303" s="4" t="s">
        <v>1893</v>
      </c>
      <c r="I303" s="4" t="s">
        <v>10</v>
      </c>
      <c r="J303" s="4" t="s">
        <v>447</v>
      </c>
      <c r="K303" s="4" t="s">
        <v>106</v>
      </c>
      <c r="L303" s="4" t="s">
        <v>181</v>
      </c>
      <c r="M303" s="4">
        <f>12.32/1000</f>
        <v>1.2320000000000001E-2</v>
      </c>
      <c r="N303" s="4" t="s">
        <v>60</v>
      </c>
      <c r="T303" s="4" t="s">
        <v>1894</v>
      </c>
      <c r="V303" s="4" t="s">
        <v>2427</v>
      </c>
      <c r="W303" s="4" t="s">
        <v>2392</v>
      </c>
      <c r="Y303" s="6">
        <v>44728</v>
      </c>
      <c r="Z303" s="6"/>
      <c r="AA303" s="6">
        <v>44734</v>
      </c>
    </row>
    <row r="304" spans="1:27" x14ac:dyDescent="0.35">
      <c r="A304" s="7" t="s">
        <v>1895</v>
      </c>
      <c r="B304" s="4" t="s">
        <v>1896</v>
      </c>
      <c r="D304" s="4" t="s">
        <v>1897</v>
      </c>
      <c r="E304" s="4" t="s">
        <v>1898</v>
      </c>
      <c r="F304" s="4" t="s">
        <v>87</v>
      </c>
      <c r="G304" s="4">
        <v>2</v>
      </c>
      <c r="J304" s="4" t="s">
        <v>447</v>
      </c>
      <c r="K304" s="4" t="s">
        <v>106</v>
      </c>
      <c r="L304" s="4" t="s">
        <v>206</v>
      </c>
      <c r="M304" s="4">
        <f>4.2/1000</f>
        <v>4.2000000000000006E-3</v>
      </c>
      <c r="N304" s="4" t="s">
        <v>38</v>
      </c>
      <c r="T304" s="4" t="s">
        <v>1899</v>
      </c>
      <c r="V304" s="4" t="s">
        <v>1900</v>
      </c>
      <c r="Y304" s="6">
        <v>44720</v>
      </c>
      <c r="Z304" s="6"/>
      <c r="AA304" s="6">
        <v>44734</v>
      </c>
    </row>
    <row r="305" spans="1:36" x14ac:dyDescent="0.35">
      <c r="A305" s="7" t="s">
        <v>2599</v>
      </c>
      <c r="B305" s="4" t="s">
        <v>1901</v>
      </c>
      <c r="D305" s="4" t="s">
        <v>1902</v>
      </c>
      <c r="E305" s="4" t="s">
        <v>1903</v>
      </c>
      <c r="F305" s="4" t="s">
        <v>87</v>
      </c>
      <c r="G305" s="4">
        <v>2.5</v>
      </c>
      <c r="H305" s="4" t="s">
        <v>1904</v>
      </c>
      <c r="J305" s="4" t="s">
        <v>696</v>
      </c>
      <c r="K305" s="4" t="s">
        <v>36</v>
      </c>
      <c r="L305" s="4" t="s">
        <v>36</v>
      </c>
      <c r="M305" s="4">
        <f>49.08/1000</f>
        <v>4.9079999999999999E-2</v>
      </c>
      <c r="N305" s="4" t="s">
        <v>60</v>
      </c>
      <c r="T305" s="4" t="s">
        <v>1905</v>
      </c>
      <c r="U305" s="4" t="s">
        <v>1906</v>
      </c>
      <c r="Y305" s="6">
        <v>44720</v>
      </c>
      <c r="Z305" s="6"/>
      <c r="AA305" s="6">
        <v>45098</v>
      </c>
    </row>
    <row r="306" spans="1:36" x14ac:dyDescent="0.35">
      <c r="A306" s="7" t="s">
        <v>1907</v>
      </c>
      <c r="B306" s="4" t="s">
        <v>1908</v>
      </c>
      <c r="D306" s="4" t="s">
        <v>1909</v>
      </c>
      <c r="E306" s="4" t="s">
        <v>1910</v>
      </c>
      <c r="F306" s="4" t="s">
        <v>116</v>
      </c>
      <c r="G306" s="4" t="s">
        <v>1911</v>
      </c>
      <c r="J306" s="4" t="s">
        <v>1912</v>
      </c>
      <c r="K306" s="4" t="s">
        <v>106</v>
      </c>
      <c r="L306" s="4" t="s">
        <v>1913</v>
      </c>
      <c r="M306" s="4">
        <f>3378/1000</f>
        <v>3.3780000000000001</v>
      </c>
      <c r="N306" s="4" t="s">
        <v>2436</v>
      </c>
      <c r="V306" s="4" t="s">
        <v>2426</v>
      </c>
      <c r="W306" s="4" t="s">
        <v>2425</v>
      </c>
      <c r="Y306" s="6">
        <v>44720</v>
      </c>
      <c r="Z306" s="6"/>
      <c r="AA306" s="6">
        <v>44735</v>
      </c>
    </row>
    <row r="307" spans="1:36" x14ac:dyDescent="0.35">
      <c r="A307" s="7" t="s">
        <v>2600</v>
      </c>
      <c r="B307" s="4" t="s">
        <v>1914</v>
      </c>
      <c r="C307" s="4" t="s">
        <v>1915</v>
      </c>
      <c r="D307" s="4" t="s">
        <v>1916</v>
      </c>
      <c r="E307" s="4" t="s">
        <v>1917</v>
      </c>
      <c r="F307" s="4" t="s">
        <v>87</v>
      </c>
      <c r="G307" s="4">
        <v>4</v>
      </c>
      <c r="H307" s="4" t="s">
        <v>1918</v>
      </c>
      <c r="J307" s="4" t="s">
        <v>483</v>
      </c>
      <c r="K307" s="4" t="s">
        <v>106</v>
      </c>
      <c r="L307" s="4" t="s">
        <v>1446</v>
      </c>
      <c r="N307" s="4" t="s">
        <v>120</v>
      </c>
      <c r="W307" s="4" t="s">
        <v>1919</v>
      </c>
      <c r="X307" s="4" t="s">
        <v>181</v>
      </c>
      <c r="Y307" s="6">
        <v>44720</v>
      </c>
      <c r="Z307" s="6"/>
    </row>
    <row r="308" spans="1:36" x14ac:dyDescent="0.35">
      <c r="A308" s="7" t="s">
        <v>1920</v>
      </c>
      <c r="B308" s="4" t="s">
        <v>1921</v>
      </c>
      <c r="C308" s="4" t="s">
        <v>1922</v>
      </c>
      <c r="D308" s="4" t="s">
        <v>1923</v>
      </c>
      <c r="E308" s="4" t="s">
        <v>1924</v>
      </c>
      <c r="F308" s="4" t="s">
        <v>87</v>
      </c>
      <c r="G308" s="4">
        <v>2</v>
      </c>
      <c r="J308" s="4" t="s">
        <v>483</v>
      </c>
      <c r="K308" s="4" t="s">
        <v>106</v>
      </c>
      <c r="L308" s="4" t="s">
        <v>1446</v>
      </c>
      <c r="M308" s="4">
        <f>2.065/1000</f>
        <v>2.065E-3</v>
      </c>
      <c r="N308" s="4" t="s">
        <v>120</v>
      </c>
      <c r="T308" s="4" t="s">
        <v>1925</v>
      </c>
      <c r="U308" s="4" t="s">
        <v>1926</v>
      </c>
      <c r="V308" s="4" t="s">
        <v>1927</v>
      </c>
      <c r="W308" s="4" t="s">
        <v>411</v>
      </c>
      <c r="Y308" s="6">
        <v>44720</v>
      </c>
      <c r="Z308" s="6"/>
      <c r="AA308" s="6">
        <v>44735</v>
      </c>
    </row>
    <row r="309" spans="1:36" x14ac:dyDescent="0.35">
      <c r="A309" s="7" t="s">
        <v>2601</v>
      </c>
      <c r="B309" s="4" t="s">
        <v>1928</v>
      </c>
      <c r="C309" s="4" t="s">
        <v>1929</v>
      </c>
      <c r="D309" s="4" t="s">
        <v>1916</v>
      </c>
      <c r="E309" s="4" t="s">
        <v>1930</v>
      </c>
      <c r="J309" s="4" t="s">
        <v>483</v>
      </c>
      <c r="K309" s="4" t="s">
        <v>106</v>
      </c>
      <c r="X309" s="4" t="s">
        <v>181</v>
      </c>
      <c r="Y309" s="6">
        <v>44720</v>
      </c>
      <c r="Z309" s="6"/>
    </row>
    <row r="310" spans="1:36" x14ac:dyDescent="0.35">
      <c r="A310" s="7" t="s">
        <v>1931</v>
      </c>
      <c r="B310" s="4" t="s">
        <v>1932</v>
      </c>
      <c r="D310" s="4" t="s">
        <v>1933</v>
      </c>
      <c r="E310" s="4" t="s">
        <v>1934</v>
      </c>
      <c r="F310" s="4" t="s">
        <v>87</v>
      </c>
      <c r="G310" s="4">
        <v>5</v>
      </c>
      <c r="H310" s="4" t="s">
        <v>1935</v>
      </c>
      <c r="I310" s="4" t="s">
        <v>10</v>
      </c>
      <c r="J310" s="4" t="s">
        <v>675</v>
      </c>
      <c r="K310" s="4" t="s">
        <v>36</v>
      </c>
      <c r="L310" s="4" t="s">
        <v>36</v>
      </c>
      <c r="M310" s="4">
        <f>9.53/1000</f>
        <v>9.5299999999999985E-3</v>
      </c>
      <c r="N310" s="4" t="s">
        <v>60</v>
      </c>
      <c r="T310" s="4" t="s">
        <v>1936</v>
      </c>
      <c r="U310" s="4" t="s">
        <v>1937</v>
      </c>
      <c r="Y310" s="6">
        <v>44720</v>
      </c>
      <c r="Z310" s="6">
        <v>45098</v>
      </c>
      <c r="AA310" s="6">
        <v>45098</v>
      </c>
    </row>
    <row r="311" spans="1:36" s="3" customFormat="1" x14ac:dyDescent="0.35">
      <c r="A311" s="7" t="s">
        <v>2602</v>
      </c>
      <c r="B311" s="4" t="s">
        <v>941</v>
      </c>
      <c r="C311" s="4" t="s">
        <v>940</v>
      </c>
      <c r="D311" s="4" t="s">
        <v>942</v>
      </c>
      <c r="E311" s="4" t="s">
        <v>943</v>
      </c>
      <c r="F311" s="4" t="s">
        <v>116</v>
      </c>
      <c r="G311" s="4">
        <v>8</v>
      </c>
      <c r="H311" s="4" t="s">
        <v>944</v>
      </c>
      <c r="I311" s="4"/>
      <c r="J311" s="4" t="s">
        <v>945</v>
      </c>
      <c r="K311" s="4" t="s">
        <v>36</v>
      </c>
      <c r="L311" s="4" t="s">
        <v>36</v>
      </c>
      <c r="M311" s="4">
        <f>1446.88/1000</f>
        <v>1.4468800000000002</v>
      </c>
      <c r="N311" s="5" t="s">
        <v>60</v>
      </c>
      <c r="O311" s="5"/>
      <c r="P311" s="5"/>
      <c r="Q311" s="5"/>
      <c r="R311" s="5"/>
      <c r="S311" s="5"/>
      <c r="T311" s="5" t="s">
        <v>946</v>
      </c>
      <c r="U311" s="4" t="s">
        <v>947</v>
      </c>
      <c r="V311" s="4"/>
      <c r="W311" s="4"/>
      <c r="X311" s="4"/>
      <c r="Y311" s="6">
        <v>44719</v>
      </c>
      <c r="Z311" s="6"/>
      <c r="AA311" s="6">
        <v>45093</v>
      </c>
      <c r="AC311"/>
      <c r="AD311"/>
      <c r="AF311"/>
      <c r="AG311"/>
      <c r="AH311"/>
      <c r="AI311"/>
      <c r="AJ311"/>
    </row>
    <row r="312" spans="1:36" x14ac:dyDescent="0.35">
      <c r="A312" s="7" t="s">
        <v>2651</v>
      </c>
      <c r="B312" s="4" t="s">
        <v>2460</v>
      </c>
      <c r="C312" s="4" t="s">
        <v>1938</v>
      </c>
      <c r="D312" s="4" t="s">
        <v>1939</v>
      </c>
      <c r="E312" s="4" t="s">
        <v>1940</v>
      </c>
      <c r="F312" s="4" t="s">
        <v>87</v>
      </c>
      <c r="J312" s="4" t="s">
        <v>945</v>
      </c>
      <c r="K312" s="4" t="s">
        <v>36</v>
      </c>
      <c r="L312" s="4" t="s">
        <v>36</v>
      </c>
      <c r="N312" s="4" t="s">
        <v>60</v>
      </c>
      <c r="T312" s="4" t="s">
        <v>1941</v>
      </c>
      <c r="V312" s="4" t="s">
        <v>1942</v>
      </c>
      <c r="Y312" s="6"/>
      <c r="Z312" s="6">
        <v>44728</v>
      </c>
      <c r="AA312" s="6">
        <v>44733</v>
      </c>
      <c r="AC312" s="3"/>
      <c r="AD312" s="3"/>
      <c r="AF312" s="3"/>
      <c r="AG312" s="3"/>
      <c r="AH312" s="3"/>
      <c r="AI312" s="3"/>
      <c r="AJ312" s="3"/>
    </row>
    <row r="313" spans="1:36" x14ac:dyDescent="0.35">
      <c r="A313" s="7" t="s">
        <v>1943</v>
      </c>
      <c r="B313" s="4" t="s">
        <v>1944</v>
      </c>
      <c r="D313" s="4" t="s">
        <v>1945</v>
      </c>
      <c r="E313" s="4" t="s">
        <v>1946</v>
      </c>
      <c r="F313" s="4" t="s">
        <v>87</v>
      </c>
      <c r="G313" s="4">
        <v>6</v>
      </c>
      <c r="H313" s="4" t="s">
        <v>1947</v>
      </c>
      <c r="J313" s="4" t="s">
        <v>105</v>
      </c>
      <c r="K313" s="4" t="s">
        <v>106</v>
      </c>
      <c r="L313" s="4" t="s">
        <v>1948</v>
      </c>
      <c r="M313" s="4">
        <f>0.1/1000</f>
        <v>1E-4</v>
      </c>
      <c r="N313" s="4" t="s">
        <v>2415</v>
      </c>
      <c r="S313" s="4" t="s">
        <v>1949</v>
      </c>
      <c r="T313" s="4" t="s">
        <v>1950</v>
      </c>
      <c r="V313" s="4" t="s">
        <v>1951</v>
      </c>
      <c r="Y313" s="6">
        <v>44720</v>
      </c>
      <c r="Z313" s="6"/>
      <c r="AA313" s="6">
        <v>44735</v>
      </c>
    </row>
    <row r="314" spans="1:36" x14ac:dyDescent="0.35">
      <c r="A314" s="7" t="s">
        <v>1952</v>
      </c>
      <c r="B314" s="4" t="s">
        <v>1953</v>
      </c>
      <c r="D314" s="4" t="s">
        <v>1954</v>
      </c>
      <c r="E314" s="4" t="s">
        <v>1955</v>
      </c>
      <c r="F314" s="4" t="s">
        <v>87</v>
      </c>
      <c r="G314" s="4">
        <v>2</v>
      </c>
      <c r="H314" s="4" t="s">
        <v>1956</v>
      </c>
      <c r="J314" s="4" t="s">
        <v>132</v>
      </c>
      <c r="K314" s="4" t="s">
        <v>36</v>
      </c>
      <c r="L314" s="4" t="s">
        <v>36</v>
      </c>
      <c r="M314" s="4">
        <f>1.72/1000</f>
        <v>1.72E-3</v>
      </c>
      <c r="N314" s="4" t="s">
        <v>60</v>
      </c>
      <c r="T314" s="4" t="s">
        <v>1957</v>
      </c>
      <c r="Y314" s="6">
        <v>44720</v>
      </c>
      <c r="Z314" s="6"/>
      <c r="AA314" s="6">
        <v>45098</v>
      </c>
    </row>
    <row r="315" spans="1:36" x14ac:dyDescent="0.35">
      <c r="A315" s="7" t="s">
        <v>1958</v>
      </c>
      <c r="B315" s="4" t="s">
        <v>1959</v>
      </c>
      <c r="D315" s="4" t="s">
        <v>1960</v>
      </c>
      <c r="E315" s="4" t="s">
        <v>1961</v>
      </c>
      <c r="F315" s="4" t="s">
        <v>87</v>
      </c>
      <c r="G315" s="4">
        <v>1.5</v>
      </c>
      <c r="H315" s="4" t="s">
        <v>1962</v>
      </c>
      <c r="I315" s="4" t="s">
        <v>10</v>
      </c>
      <c r="J315" s="4" t="s">
        <v>132</v>
      </c>
      <c r="K315" s="4" t="s">
        <v>36</v>
      </c>
      <c r="L315" s="4" t="s">
        <v>36</v>
      </c>
      <c r="M315" s="4">
        <f>3.33/1000</f>
        <v>3.3300000000000001E-3</v>
      </c>
      <c r="N315" s="4" t="s">
        <v>60</v>
      </c>
      <c r="T315" s="4" t="s">
        <v>1963</v>
      </c>
      <c r="V315" s="4" t="s">
        <v>1964</v>
      </c>
      <c r="Y315" s="6">
        <v>44720</v>
      </c>
      <c r="Z315" s="6">
        <v>45098</v>
      </c>
      <c r="AA315" s="6">
        <v>45098</v>
      </c>
    </row>
    <row r="316" spans="1:36" x14ac:dyDescent="0.35">
      <c r="A316" s="7" t="s">
        <v>1965</v>
      </c>
      <c r="B316" s="4" t="s">
        <v>1966</v>
      </c>
      <c r="D316" s="4" t="s">
        <v>1967</v>
      </c>
      <c r="E316" s="4" t="s">
        <v>1968</v>
      </c>
      <c r="F316" s="4" t="s">
        <v>87</v>
      </c>
      <c r="G316" s="4">
        <v>4</v>
      </c>
      <c r="H316" s="4" t="s">
        <v>1969</v>
      </c>
      <c r="J316" s="4" t="s">
        <v>105</v>
      </c>
      <c r="K316" s="4" t="s">
        <v>106</v>
      </c>
      <c r="L316" s="4" t="s">
        <v>1970</v>
      </c>
      <c r="M316" s="4">
        <f>285.4/1000</f>
        <v>0.28539999999999999</v>
      </c>
      <c r="N316" s="4" t="s">
        <v>108</v>
      </c>
      <c r="O316" s="4" t="s">
        <v>38</v>
      </c>
      <c r="P316" s="4" t="s">
        <v>121</v>
      </c>
      <c r="Q316" s="4" t="s">
        <v>60</v>
      </c>
      <c r="T316" s="4" t="s">
        <v>1971</v>
      </c>
      <c r="U316" s="4" t="s">
        <v>1972</v>
      </c>
      <c r="V316" s="4" t="s">
        <v>1973</v>
      </c>
      <c r="Y316" s="6">
        <v>44720</v>
      </c>
      <c r="Z316" s="6"/>
      <c r="AA316" s="6">
        <v>44735</v>
      </c>
    </row>
    <row r="317" spans="1:36" x14ac:dyDescent="0.35">
      <c r="A317" s="7" t="s">
        <v>1974</v>
      </c>
      <c r="B317" s="4" t="s">
        <v>1975</v>
      </c>
      <c r="D317" s="4" t="s">
        <v>1976</v>
      </c>
      <c r="F317" s="4" t="s">
        <v>116</v>
      </c>
      <c r="G317" s="4">
        <v>25</v>
      </c>
      <c r="H317" s="4" t="s">
        <v>1977</v>
      </c>
      <c r="I317" s="4" t="s">
        <v>10</v>
      </c>
      <c r="J317" s="4" t="s">
        <v>447</v>
      </c>
      <c r="K317" s="4" t="s">
        <v>106</v>
      </c>
      <c r="L317" s="4" t="s">
        <v>181</v>
      </c>
      <c r="M317" s="4">
        <f>19.2/1000</f>
        <v>1.9199999999999998E-2</v>
      </c>
      <c r="N317" s="4" t="s">
        <v>49</v>
      </c>
      <c r="O317" s="4" t="s">
        <v>2415</v>
      </c>
      <c r="S317" s="4" t="s">
        <v>1978</v>
      </c>
      <c r="T317" s="4" t="s">
        <v>1979</v>
      </c>
      <c r="U317" s="4" t="s">
        <v>1972</v>
      </c>
      <c r="V317" s="4" t="s">
        <v>1980</v>
      </c>
      <c r="Y317" s="6">
        <v>44720</v>
      </c>
      <c r="Z317" s="6"/>
      <c r="AA317" s="6">
        <v>44735</v>
      </c>
    </row>
    <row r="318" spans="1:36" x14ac:dyDescent="0.35">
      <c r="A318" s="7" t="s">
        <v>1981</v>
      </c>
      <c r="B318" s="4" t="s">
        <v>1982</v>
      </c>
      <c r="D318" s="4" t="s">
        <v>1983</v>
      </c>
      <c r="E318" s="4" t="s">
        <v>1984</v>
      </c>
      <c r="F318" s="4" t="s">
        <v>87</v>
      </c>
      <c r="G318" s="4">
        <v>1</v>
      </c>
      <c r="H318" s="4" t="s">
        <v>1985</v>
      </c>
      <c r="J318" s="4" t="s">
        <v>158</v>
      </c>
      <c r="K318" s="4" t="s">
        <v>106</v>
      </c>
      <c r="L318" s="4" t="s">
        <v>159</v>
      </c>
      <c r="N318" s="4" t="s">
        <v>120</v>
      </c>
      <c r="T318" s="4" t="s">
        <v>27</v>
      </c>
      <c r="U318" s="4" t="s">
        <v>1986</v>
      </c>
      <c r="Y318" s="6">
        <v>44720</v>
      </c>
      <c r="Z318" s="6">
        <v>45058</v>
      </c>
    </row>
    <row r="319" spans="1:36" x14ac:dyDescent="0.35">
      <c r="A319" s="7" t="s">
        <v>1987</v>
      </c>
      <c r="B319" s="4" t="s">
        <v>1988</v>
      </c>
      <c r="D319" s="4" t="s">
        <v>1989</v>
      </c>
      <c r="E319" s="4" t="s">
        <v>1990</v>
      </c>
      <c r="F319" s="4" t="s">
        <v>87</v>
      </c>
      <c r="G319" s="4">
        <v>3</v>
      </c>
      <c r="H319" s="4" t="s">
        <v>1991</v>
      </c>
      <c r="I319" s="4" t="s">
        <v>10</v>
      </c>
      <c r="J319" s="4" t="s">
        <v>1992</v>
      </c>
      <c r="K319" s="4" t="s">
        <v>36</v>
      </c>
      <c r="L319" s="4" t="s">
        <v>36</v>
      </c>
      <c r="M319" s="4">
        <f>15.56/1000</f>
        <v>1.5560000000000001E-2</v>
      </c>
      <c r="N319" s="4" t="s">
        <v>60</v>
      </c>
      <c r="T319" s="4" t="s">
        <v>1993</v>
      </c>
      <c r="U319" s="4" t="s">
        <v>1994</v>
      </c>
      <c r="V319" s="4" t="s">
        <v>1995</v>
      </c>
      <c r="Y319" s="6">
        <v>44720</v>
      </c>
      <c r="Z319" s="6">
        <v>45098</v>
      </c>
      <c r="AA319" s="6">
        <v>45098</v>
      </c>
    </row>
    <row r="320" spans="1:36" x14ac:dyDescent="0.35">
      <c r="A320" s="7" t="s">
        <v>1996</v>
      </c>
      <c r="B320" s="4" t="s">
        <v>1997</v>
      </c>
      <c r="C320" s="4" t="s">
        <v>1998</v>
      </c>
      <c r="D320" s="4" t="s">
        <v>1999</v>
      </c>
      <c r="E320" s="4" t="s">
        <v>2000</v>
      </c>
      <c r="F320" s="4" t="s">
        <v>87</v>
      </c>
      <c r="H320" s="4" t="s">
        <v>2001</v>
      </c>
      <c r="I320" s="4" t="s">
        <v>10</v>
      </c>
      <c r="J320" s="4" t="s">
        <v>2002</v>
      </c>
      <c r="K320" s="4" t="s">
        <v>36</v>
      </c>
      <c r="L320" s="4" t="s">
        <v>36</v>
      </c>
      <c r="M320" s="4">
        <f>3.42/1000</f>
        <v>3.4199999999999999E-3</v>
      </c>
      <c r="N320" s="4" t="s">
        <v>60</v>
      </c>
      <c r="T320" s="4" t="s">
        <v>140</v>
      </c>
      <c r="U320" s="4" t="s">
        <v>2003</v>
      </c>
      <c r="V320" s="4" t="s">
        <v>2004</v>
      </c>
      <c r="Y320" s="6"/>
      <c r="Z320" s="6"/>
      <c r="AA320" s="6">
        <v>45098</v>
      </c>
    </row>
    <row r="321" spans="1:27" x14ac:dyDescent="0.35">
      <c r="A321" s="7" t="s">
        <v>2603</v>
      </c>
      <c r="B321" s="4" t="s">
        <v>2005</v>
      </c>
      <c r="D321" s="4" t="s">
        <v>2006</v>
      </c>
      <c r="F321" s="4" t="s">
        <v>87</v>
      </c>
      <c r="H321" s="4" t="s">
        <v>2007</v>
      </c>
      <c r="I321" s="4" t="s">
        <v>10</v>
      </c>
      <c r="J321" s="4" t="s">
        <v>2002</v>
      </c>
      <c r="K321" s="4" t="s">
        <v>36</v>
      </c>
      <c r="L321" s="4" t="s">
        <v>36</v>
      </c>
      <c r="M321" s="4">
        <f>3.06/1000</f>
        <v>3.0600000000000002E-3</v>
      </c>
      <c r="N321" s="4" t="s">
        <v>60</v>
      </c>
      <c r="T321" s="4" t="s">
        <v>140</v>
      </c>
      <c r="U321" s="4" t="s">
        <v>2003</v>
      </c>
      <c r="V321" s="4" t="s">
        <v>2004</v>
      </c>
      <c r="Y321" s="6">
        <v>45098</v>
      </c>
      <c r="Z321" s="6"/>
      <c r="AA321" s="6">
        <v>45098</v>
      </c>
    </row>
    <row r="322" spans="1:27" x14ac:dyDescent="0.35">
      <c r="A322" s="7" t="s">
        <v>2604</v>
      </c>
      <c r="B322" s="4" t="s">
        <v>2008</v>
      </c>
      <c r="D322" s="4" t="s">
        <v>2006</v>
      </c>
      <c r="F322" s="4" t="s">
        <v>87</v>
      </c>
      <c r="H322" s="4" t="s">
        <v>2009</v>
      </c>
      <c r="I322" s="4" t="s">
        <v>10</v>
      </c>
      <c r="J322" s="4" t="s">
        <v>2002</v>
      </c>
      <c r="K322" s="4" t="s">
        <v>36</v>
      </c>
      <c r="L322" s="4" t="s">
        <v>36</v>
      </c>
      <c r="M322" s="4">
        <f>2.09/1000</f>
        <v>2.0899999999999998E-3</v>
      </c>
      <c r="N322" s="4" t="s">
        <v>60</v>
      </c>
      <c r="T322" s="4" t="s">
        <v>140</v>
      </c>
      <c r="U322" s="4" t="s">
        <v>2003</v>
      </c>
      <c r="V322" s="4" t="s">
        <v>2004</v>
      </c>
      <c r="Y322" s="6">
        <v>45098</v>
      </c>
      <c r="Z322" s="6"/>
      <c r="AA322" s="6">
        <v>45098</v>
      </c>
    </row>
    <row r="323" spans="1:27" x14ac:dyDescent="0.35">
      <c r="A323" s="7" t="s">
        <v>2010</v>
      </c>
      <c r="B323" s="4" t="s">
        <v>2011</v>
      </c>
      <c r="D323" s="4" t="s">
        <v>2006</v>
      </c>
      <c r="F323" s="4" t="s">
        <v>87</v>
      </c>
      <c r="H323" s="4" t="s">
        <v>2012</v>
      </c>
      <c r="I323" s="4" t="s">
        <v>10</v>
      </c>
      <c r="J323" s="4" t="s">
        <v>2002</v>
      </c>
      <c r="K323" s="4" t="s">
        <v>36</v>
      </c>
      <c r="L323" s="4" t="s">
        <v>36</v>
      </c>
      <c r="N323" s="4" t="s">
        <v>60</v>
      </c>
      <c r="T323" s="4" t="s">
        <v>140</v>
      </c>
      <c r="U323" s="4" t="s">
        <v>2003</v>
      </c>
      <c r="V323" s="4" t="s">
        <v>2004</v>
      </c>
      <c r="Y323" s="6">
        <v>45098</v>
      </c>
      <c r="Z323" s="6"/>
      <c r="AA323" s="6">
        <v>45098</v>
      </c>
    </row>
    <row r="324" spans="1:27" x14ac:dyDescent="0.35">
      <c r="A324" s="7" t="s">
        <v>2013</v>
      </c>
      <c r="B324" s="4" t="s">
        <v>2014</v>
      </c>
      <c r="D324" s="4" t="s">
        <v>2015</v>
      </c>
      <c r="F324" s="4" t="s">
        <v>87</v>
      </c>
      <c r="H324" s="4" t="s">
        <v>2016</v>
      </c>
      <c r="I324" s="4" t="s">
        <v>10</v>
      </c>
      <c r="J324" s="4" t="s">
        <v>2002</v>
      </c>
      <c r="K324" s="4" t="s">
        <v>36</v>
      </c>
      <c r="L324" s="4" t="s">
        <v>36</v>
      </c>
      <c r="M324" s="4">
        <f>3.79/1000</f>
        <v>3.79E-3</v>
      </c>
      <c r="N324" s="4" t="s">
        <v>60</v>
      </c>
      <c r="T324" s="4" t="s">
        <v>2017</v>
      </c>
      <c r="U324" s="4" t="s">
        <v>2003</v>
      </c>
      <c r="V324" s="4" t="s">
        <v>2018</v>
      </c>
      <c r="Y324" s="6">
        <v>44720</v>
      </c>
      <c r="Z324" s="6"/>
      <c r="AA324" s="6">
        <v>45098</v>
      </c>
    </row>
    <row r="325" spans="1:27" x14ac:dyDescent="0.35">
      <c r="A325" s="7" t="s">
        <v>2019</v>
      </c>
      <c r="B325" s="4" t="s">
        <v>2020</v>
      </c>
      <c r="D325" s="4" t="s">
        <v>2006</v>
      </c>
      <c r="F325" s="4" t="s">
        <v>87</v>
      </c>
      <c r="H325" s="4" t="s">
        <v>2021</v>
      </c>
      <c r="I325" s="4" t="s">
        <v>10</v>
      </c>
      <c r="J325" s="4" t="s">
        <v>2002</v>
      </c>
      <c r="K325" s="4" t="s">
        <v>36</v>
      </c>
      <c r="L325" s="4" t="s">
        <v>36</v>
      </c>
      <c r="N325" s="4" t="s">
        <v>60</v>
      </c>
      <c r="T325" s="4" t="s">
        <v>140</v>
      </c>
      <c r="U325" s="4" t="s">
        <v>2003</v>
      </c>
      <c r="V325" s="4" t="s">
        <v>2004</v>
      </c>
      <c r="Y325" s="6">
        <v>45098</v>
      </c>
      <c r="Z325" s="6"/>
    </row>
    <row r="326" spans="1:27" x14ac:dyDescent="0.35">
      <c r="A326" s="7" t="s">
        <v>2022</v>
      </c>
      <c r="B326" s="4" t="s">
        <v>2023</v>
      </c>
      <c r="D326" s="4" t="s">
        <v>2024</v>
      </c>
      <c r="E326" s="4" t="s">
        <v>2025</v>
      </c>
      <c r="F326" s="4" t="s">
        <v>87</v>
      </c>
      <c r="G326" s="4">
        <v>4</v>
      </c>
      <c r="H326" s="4" t="s">
        <v>2026</v>
      </c>
      <c r="J326" s="4" t="s">
        <v>2002</v>
      </c>
      <c r="K326" s="4" t="s">
        <v>36</v>
      </c>
      <c r="L326" s="4" t="s">
        <v>36</v>
      </c>
      <c r="N326" s="4" t="s">
        <v>60</v>
      </c>
      <c r="T326" s="4" t="s">
        <v>2027</v>
      </c>
      <c r="U326" s="10" t="s">
        <v>2028</v>
      </c>
      <c r="V326" s="4" t="s">
        <v>2029</v>
      </c>
      <c r="Y326" s="6">
        <v>44720</v>
      </c>
      <c r="Z326" s="6">
        <v>45098</v>
      </c>
    </row>
    <row r="327" spans="1:27" x14ac:dyDescent="0.35">
      <c r="A327" s="7" t="s">
        <v>2030</v>
      </c>
      <c r="B327" s="4" t="s">
        <v>2031</v>
      </c>
      <c r="D327" s="4" t="s">
        <v>2006</v>
      </c>
      <c r="F327" s="4" t="s">
        <v>87</v>
      </c>
      <c r="H327" s="4" t="s">
        <v>2032</v>
      </c>
      <c r="J327" s="4" t="s">
        <v>2002</v>
      </c>
      <c r="K327" s="4" t="s">
        <v>36</v>
      </c>
      <c r="L327" s="4" t="s">
        <v>36</v>
      </c>
      <c r="M327" s="4">
        <f>2.93/1000</f>
        <v>2.9300000000000003E-3</v>
      </c>
      <c r="N327" s="4" t="s">
        <v>60</v>
      </c>
      <c r="T327" s="4" t="s">
        <v>140</v>
      </c>
      <c r="U327" s="4" t="s">
        <v>2003</v>
      </c>
      <c r="V327" s="4" t="s">
        <v>2004</v>
      </c>
      <c r="Y327" s="6">
        <v>45098</v>
      </c>
      <c r="Z327" s="6"/>
      <c r="AA327" s="6">
        <v>45098</v>
      </c>
    </row>
    <row r="328" spans="1:27" x14ac:dyDescent="0.35">
      <c r="A328" s="7" t="s">
        <v>2033</v>
      </c>
      <c r="B328" s="4" t="s">
        <v>2034</v>
      </c>
      <c r="D328" s="4" t="s">
        <v>2006</v>
      </c>
      <c r="F328" s="4" t="s">
        <v>87</v>
      </c>
      <c r="H328" s="4" t="s">
        <v>2035</v>
      </c>
      <c r="I328" s="4" t="s">
        <v>10</v>
      </c>
      <c r="J328" s="4" t="s">
        <v>2002</v>
      </c>
      <c r="K328" s="4" t="s">
        <v>36</v>
      </c>
      <c r="L328" s="4" t="s">
        <v>36</v>
      </c>
      <c r="M328" s="4">
        <f>2.52/1000</f>
        <v>2.5200000000000001E-3</v>
      </c>
      <c r="N328" s="4" t="s">
        <v>60</v>
      </c>
      <c r="O328" s="4" t="s">
        <v>2415</v>
      </c>
      <c r="T328" s="4" t="s">
        <v>2036</v>
      </c>
      <c r="U328" s="4" t="s">
        <v>2003</v>
      </c>
      <c r="V328" s="4" t="s">
        <v>2037</v>
      </c>
      <c r="Y328" s="6">
        <v>45098</v>
      </c>
      <c r="Z328" s="6"/>
      <c r="AA328" s="6">
        <v>45098</v>
      </c>
    </row>
    <row r="329" spans="1:27" x14ac:dyDescent="0.35">
      <c r="A329" s="7" t="s">
        <v>2605</v>
      </c>
      <c r="B329" s="4" t="s">
        <v>2038</v>
      </c>
      <c r="D329" s="4" t="s">
        <v>2006</v>
      </c>
      <c r="F329" s="4" t="s">
        <v>87</v>
      </c>
      <c r="H329" s="4" t="s">
        <v>2039</v>
      </c>
      <c r="I329" s="4" t="s">
        <v>10</v>
      </c>
      <c r="J329" s="4" t="s">
        <v>2002</v>
      </c>
      <c r="K329" s="4" t="s">
        <v>36</v>
      </c>
      <c r="L329" s="4" t="s">
        <v>36</v>
      </c>
      <c r="N329" s="4" t="s">
        <v>60</v>
      </c>
      <c r="T329" s="4" t="s">
        <v>140</v>
      </c>
      <c r="U329" s="4" t="s">
        <v>2003</v>
      </c>
      <c r="V329" s="4" t="s">
        <v>2004</v>
      </c>
      <c r="Y329" s="6"/>
      <c r="Z329" s="6"/>
    </row>
    <row r="330" spans="1:27" x14ac:dyDescent="0.35">
      <c r="A330" s="7" t="s">
        <v>2040</v>
      </c>
      <c r="B330" s="4" t="s">
        <v>2041</v>
      </c>
      <c r="D330" s="4" t="s">
        <v>2042</v>
      </c>
      <c r="E330" s="4" t="s">
        <v>2043</v>
      </c>
      <c r="F330" s="4" t="s">
        <v>130</v>
      </c>
      <c r="H330" s="4" t="s">
        <v>2044</v>
      </c>
      <c r="I330" s="4" t="s">
        <v>10</v>
      </c>
      <c r="J330" s="4" t="s">
        <v>483</v>
      </c>
      <c r="K330" s="4" t="s">
        <v>106</v>
      </c>
      <c r="L330" s="4" t="s">
        <v>1446</v>
      </c>
      <c r="M330" s="4">
        <f>1.8352/1000</f>
        <v>1.8351999999999999E-3</v>
      </c>
      <c r="N330" s="4" t="s">
        <v>120</v>
      </c>
      <c r="T330" s="4" t="s">
        <v>2045</v>
      </c>
      <c r="U330" s="4" t="s">
        <v>2046</v>
      </c>
      <c r="V330" s="4" t="s">
        <v>2047</v>
      </c>
      <c r="Y330" s="6">
        <v>44720</v>
      </c>
      <c r="Z330" s="6">
        <v>45058</v>
      </c>
      <c r="AA330" s="6">
        <v>44735</v>
      </c>
    </row>
    <row r="331" spans="1:27" x14ac:dyDescent="0.35">
      <c r="A331" s="7" t="s">
        <v>2048</v>
      </c>
      <c r="B331" s="4" t="s">
        <v>2049</v>
      </c>
      <c r="D331" s="4" t="s">
        <v>2050</v>
      </c>
      <c r="E331" s="4" t="s">
        <v>2051</v>
      </c>
      <c r="F331" s="4" t="s">
        <v>103</v>
      </c>
      <c r="G331" s="4" t="s">
        <v>2052</v>
      </c>
      <c r="H331" s="4" t="s">
        <v>2053</v>
      </c>
      <c r="J331" s="4" t="s">
        <v>105</v>
      </c>
      <c r="K331" s="4" t="s">
        <v>106</v>
      </c>
      <c r="L331" s="4" t="s">
        <v>2054</v>
      </c>
      <c r="M331" s="4">
        <f>0.02/1000</f>
        <v>2.0000000000000002E-5</v>
      </c>
      <c r="N331" s="4" t="s">
        <v>60</v>
      </c>
      <c r="O331" s="4" t="s">
        <v>2415</v>
      </c>
      <c r="T331" s="4" t="s">
        <v>2055</v>
      </c>
      <c r="V331" s="4" t="s">
        <v>2056</v>
      </c>
      <c r="Y331" s="6">
        <v>44721</v>
      </c>
      <c r="Z331" s="6">
        <v>45058</v>
      </c>
      <c r="AA331" s="6">
        <v>44735</v>
      </c>
    </row>
    <row r="332" spans="1:27" x14ac:dyDescent="0.35">
      <c r="A332" s="7" t="s">
        <v>2057</v>
      </c>
      <c r="B332" s="4" t="s">
        <v>2058</v>
      </c>
      <c r="D332" s="4" t="s">
        <v>2059</v>
      </c>
      <c r="E332" s="4" t="s">
        <v>2060</v>
      </c>
      <c r="F332" s="4" t="s">
        <v>116</v>
      </c>
      <c r="G332" s="4">
        <v>7</v>
      </c>
      <c r="H332" s="4" t="s">
        <v>2061</v>
      </c>
      <c r="I332" s="4" t="s">
        <v>10</v>
      </c>
      <c r="J332" s="4" t="s">
        <v>105</v>
      </c>
      <c r="K332" s="4" t="s">
        <v>106</v>
      </c>
      <c r="L332" s="4" t="s">
        <v>2062</v>
      </c>
      <c r="M332" s="4">
        <f>0.1708/1000</f>
        <v>1.708E-4</v>
      </c>
      <c r="N332" s="4" t="s">
        <v>120</v>
      </c>
      <c r="O332" s="4" t="s">
        <v>49</v>
      </c>
      <c r="P332" s="4" t="s">
        <v>121</v>
      </c>
      <c r="T332" s="4" t="s">
        <v>2063</v>
      </c>
      <c r="U332" s="4" t="s">
        <v>2064</v>
      </c>
      <c r="V332" s="4" t="s">
        <v>2065</v>
      </c>
      <c r="W332" s="4" t="s">
        <v>411</v>
      </c>
      <c r="Y332" s="6">
        <v>44721</v>
      </c>
      <c r="Z332" s="6">
        <v>45058</v>
      </c>
      <c r="AA332" s="6">
        <v>44735</v>
      </c>
    </row>
    <row r="333" spans="1:27" x14ac:dyDescent="0.35">
      <c r="A333" s="7" t="s">
        <v>2631</v>
      </c>
      <c r="B333" s="4" t="s">
        <v>2066</v>
      </c>
      <c r="C333" s="4" t="s">
        <v>2067</v>
      </c>
      <c r="D333" s="4" t="s">
        <v>2068</v>
      </c>
      <c r="E333" s="4" t="s">
        <v>2069</v>
      </c>
      <c r="F333" s="4" t="s">
        <v>116</v>
      </c>
      <c r="G333" s="4">
        <v>25</v>
      </c>
      <c r="H333" s="4" t="s">
        <v>2070</v>
      </c>
      <c r="I333" s="4" t="s">
        <v>10</v>
      </c>
      <c r="J333" s="4" t="s">
        <v>105</v>
      </c>
      <c r="K333" s="4" t="s">
        <v>106</v>
      </c>
      <c r="L333" s="4" t="s">
        <v>2071</v>
      </c>
      <c r="M333" s="4">
        <f>0.14/1000</f>
        <v>1.4000000000000001E-4</v>
      </c>
      <c r="N333" s="4" t="s">
        <v>120</v>
      </c>
      <c r="O333" s="4" t="s">
        <v>49</v>
      </c>
      <c r="T333" s="4" t="s">
        <v>2072</v>
      </c>
      <c r="U333" s="4" t="s">
        <v>2073</v>
      </c>
      <c r="V333" s="4" t="s">
        <v>2074</v>
      </c>
      <c r="X333" s="4" t="s">
        <v>199</v>
      </c>
      <c r="Y333" s="6">
        <v>44721</v>
      </c>
      <c r="Z333" s="6">
        <v>45058</v>
      </c>
      <c r="AA333" s="6">
        <v>44735</v>
      </c>
    </row>
    <row r="334" spans="1:27" x14ac:dyDescent="0.35">
      <c r="A334" s="7" t="s">
        <v>2606</v>
      </c>
      <c r="B334" s="4" t="s">
        <v>2494</v>
      </c>
      <c r="D334" s="4" t="s">
        <v>2520</v>
      </c>
      <c r="E334" s="4" t="s">
        <v>2521</v>
      </c>
      <c r="F334" s="4" t="s">
        <v>33</v>
      </c>
      <c r="G334" s="4">
        <v>8</v>
      </c>
      <c r="H334" s="4" t="s">
        <v>2522</v>
      </c>
      <c r="I334" s="4" t="s">
        <v>10</v>
      </c>
      <c r="J334" s="4" t="s">
        <v>105</v>
      </c>
      <c r="K334" s="4" t="s">
        <v>106</v>
      </c>
      <c r="L334" s="4" t="s">
        <v>159</v>
      </c>
      <c r="M334" s="4">
        <f>0.21/1000</f>
        <v>2.0999999999999998E-4</v>
      </c>
      <c r="N334" s="4" t="s">
        <v>120</v>
      </c>
      <c r="O334" s="4" t="s">
        <v>49</v>
      </c>
      <c r="T334" s="4" t="s">
        <v>2523</v>
      </c>
      <c r="U334" s="4" t="s">
        <v>2524</v>
      </c>
      <c r="Y334" s="6"/>
      <c r="Z334" s="6"/>
      <c r="AA334" s="6">
        <v>45202</v>
      </c>
    </row>
    <row r="335" spans="1:27" x14ac:dyDescent="0.35">
      <c r="A335" s="7" t="s">
        <v>2075</v>
      </c>
      <c r="B335" s="4" t="s">
        <v>2076</v>
      </c>
      <c r="D335" s="4" t="s">
        <v>2077</v>
      </c>
      <c r="E335" s="4" t="s">
        <v>1295</v>
      </c>
      <c r="F335" s="4" t="s">
        <v>130</v>
      </c>
      <c r="H335" s="4" t="s">
        <v>2078</v>
      </c>
      <c r="J335" s="4" t="s">
        <v>132</v>
      </c>
      <c r="K335" s="4" t="s">
        <v>36</v>
      </c>
      <c r="L335" s="4" t="s">
        <v>36</v>
      </c>
      <c r="N335" s="4" t="s">
        <v>60</v>
      </c>
      <c r="T335" s="4" t="s">
        <v>2079</v>
      </c>
      <c r="V335" s="4" t="s">
        <v>2080</v>
      </c>
      <c r="W335" s="4" t="s">
        <v>1919</v>
      </c>
      <c r="Y335" s="6">
        <v>44721</v>
      </c>
      <c r="Z335" s="6"/>
    </row>
    <row r="336" spans="1:27" x14ac:dyDescent="0.35">
      <c r="A336" s="7" t="s">
        <v>2081</v>
      </c>
      <c r="B336" s="4" t="s">
        <v>2082</v>
      </c>
      <c r="D336" s="4" t="s">
        <v>2083</v>
      </c>
      <c r="E336" s="4" t="s">
        <v>2084</v>
      </c>
      <c r="F336" s="4" t="s">
        <v>33</v>
      </c>
      <c r="G336" s="4">
        <v>6</v>
      </c>
      <c r="H336" s="4" t="s">
        <v>2085</v>
      </c>
      <c r="J336" s="4" t="s">
        <v>675</v>
      </c>
      <c r="K336" s="4" t="s">
        <v>36</v>
      </c>
      <c r="L336" s="4" t="s">
        <v>36</v>
      </c>
      <c r="M336" s="4">
        <f>9.87/1000</f>
        <v>9.8699999999999986E-3</v>
      </c>
      <c r="N336" s="4" t="s">
        <v>60</v>
      </c>
      <c r="T336" s="4" t="s">
        <v>2086</v>
      </c>
      <c r="U336" s="4" t="s">
        <v>2087</v>
      </c>
      <c r="V336" s="4" t="s">
        <v>2088</v>
      </c>
      <c r="Y336" s="6">
        <v>44721</v>
      </c>
      <c r="Z336" s="6" t="s">
        <v>2089</v>
      </c>
      <c r="AA336" s="6">
        <v>45099</v>
      </c>
    </row>
    <row r="337" spans="1:27" x14ac:dyDescent="0.35">
      <c r="A337" s="7" t="s">
        <v>2090</v>
      </c>
      <c r="B337" s="4" t="s">
        <v>2091</v>
      </c>
      <c r="C337" s="4" t="s">
        <v>2092</v>
      </c>
      <c r="D337" s="4" t="s">
        <v>2093</v>
      </c>
      <c r="E337" s="4" t="s">
        <v>2094</v>
      </c>
      <c r="F337" s="4" t="s">
        <v>87</v>
      </c>
      <c r="G337" s="4">
        <v>3</v>
      </c>
      <c r="H337" s="4" t="s">
        <v>2095</v>
      </c>
      <c r="J337" s="4" t="s">
        <v>675</v>
      </c>
      <c r="K337" s="4" t="s">
        <v>36</v>
      </c>
      <c r="L337" s="4" t="s">
        <v>36</v>
      </c>
      <c r="M337" s="4">
        <f>18.14/1000</f>
        <v>1.814E-2</v>
      </c>
      <c r="N337" s="4" t="s">
        <v>60</v>
      </c>
      <c r="O337" s="4" t="s">
        <v>38</v>
      </c>
      <c r="T337" s="4" t="s">
        <v>2096</v>
      </c>
      <c r="U337" s="4" t="s">
        <v>2097</v>
      </c>
      <c r="V337" s="4" t="s">
        <v>2098</v>
      </c>
      <c r="W337" s="4" t="s">
        <v>1919</v>
      </c>
      <c r="Y337" s="6">
        <v>44728</v>
      </c>
      <c r="Z337" s="6" t="s">
        <v>2089</v>
      </c>
      <c r="AA337" s="6">
        <v>45099</v>
      </c>
    </row>
    <row r="338" spans="1:27" x14ac:dyDescent="0.35">
      <c r="A338" s="7" t="s">
        <v>2099</v>
      </c>
      <c r="B338" s="4" t="s">
        <v>2100</v>
      </c>
      <c r="D338" s="4" t="s">
        <v>2101</v>
      </c>
      <c r="E338" s="4" t="s">
        <v>2435</v>
      </c>
      <c r="F338" s="4" t="s">
        <v>762</v>
      </c>
      <c r="G338" s="4">
        <v>3</v>
      </c>
      <c r="H338" s="4" t="s">
        <v>2102</v>
      </c>
      <c r="I338" s="4" t="s">
        <v>10</v>
      </c>
      <c r="J338" s="4" t="s">
        <v>483</v>
      </c>
      <c r="K338" s="4" t="s">
        <v>200</v>
      </c>
      <c r="L338" s="4" t="s">
        <v>2103</v>
      </c>
      <c r="M338" s="4">
        <f>0.68/1000</f>
        <v>6.8000000000000005E-4</v>
      </c>
      <c r="N338" s="4" t="s">
        <v>121</v>
      </c>
      <c r="T338" s="4" t="s">
        <v>2104</v>
      </c>
      <c r="U338" s="4" t="s">
        <v>2105</v>
      </c>
      <c r="V338" s="4" t="s">
        <v>2106</v>
      </c>
      <c r="Y338" s="6">
        <v>44721</v>
      </c>
      <c r="Z338" s="6">
        <v>45058</v>
      </c>
      <c r="AA338" s="6">
        <v>45058</v>
      </c>
    </row>
    <row r="339" spans="1:27" x14ac:dyDescent="0.35">
      <c r="A339" s="7" t="s">
        <v>2111</v>
      </c>
      <c r="B339" s="4" t="s">
        <v>2112</v>
      </c>
      <c r="D339" s="4" t="s">
        <v>2113</v>
      </c>
      <c r="E339" s="4" t="s">
        <v>2114</v>
      </c>
      <c r="F339" s="4" t="s">
        <v>103</v>
      </c>
      <c r="G339" s="4">
        <v>0.09</v>
      </c>
      <c r="H339" s="4" t="s">
        <v>2115</v>
      </c>
      <c r="I339" s="4" t="s">
        <v>10</v>
      </c>
      <c r="J339" s="4" t="s">
        <v>272</v>
      </c>
      <c r="K339" s="4" t="s">
        <v>106</v>
      </c>
      <c r="L339" s="4" t="s">
        <v>181</v>
      </c>
      <c r="M339" s="4">
        <f>0.04/1000</f>
        <v>4.0000000000000003E-5</v>
      </c>
      <c r="N339" s="4" t="s">
        <v>60</v>
      </c>
      <c r="O339" s="4" t="s">
        <v>2415</v>
      </c>
      <c r="T339" s="4" t="s">
        <v>2116</v>
      </c>
      <c r="U339" s="4" t="s">
        <v>2117</v>
      </c>
      <c r="V339" s="4" t="s">
        <v>2118</v>
      </c>
      <c r="Y339" s="6">
        <v>44721</v>
      </c>
      <c r="Z339" s="6"/>
      <c r="AA339" s="6">
        <v>44735</v>
      </c>
    </row>
    <row r="340" spans="1:27" x14ac:dyDescent="0.35">
      <c r="A340" s="7" t="s">
        <v>2119</v>
      </c>
      <c r="B340" s="4" t="s">
        <v>2120</v>
      </c>
      <c r="D340" s="4" t="s">
        <v>2121</v>
      </c>
      <c r="E340" s="4" t="s">
        <v>2122</v>
      </c>
      <c r="F340" s="4" t="s">
        <v>87</v>
      </c>
      <c r="H340" s="4" t="s">
        <v>2123</v>
      </c>
      <c r="J340" s="4" t="s">
        <v>272</v>
      </c>
      <c r="K340" s="4" t="s">
        <v>106</v>
      </c>
      <c r="M340" s="4">
        <f>0.024/1000</f>
        <v>2.4000000000000001E-5</v>
      </c>
      <c r="N340" s="4" t="s">
        <v>341</v>
      </c>
      <c r="Y340" s="6">
        <v>44721</v>
      </c>
      <c r="Z340" s="6"/>
      <c r="AA340" s="6">
        <v>44735</v>
      </c>
    </row>
    <row r="341" spans="1:27" x14ac:dyDescent="0.35">
      <c r="A341" s="7" t="s">
        <v>2607</v>
      </c>
      <c r="B341" s="4" t="s">
        <v>2124</v>
      </c>
      <c r="J341" s="4" t="s">
        <v>347</v>
      </c>
      <c r="K341" s="4" t="s">
        <v>2125</v>
      </c>
      <c r="Y341" s="6">
        <v>44721</v>
      </c>
      <c r="Z341" s="6"/>
    </row>
    <row r="342" spans="1:27" x14ac:dyDescent="0.35">
      <c r="A342" s="7" t="s">
        <v>2608</v>
      </c>
      <c r="B342" s="4" t="s">
        <v>2126</v>
      </c>
      <c r="D342" s="4" t="s">
        <v>2127</v>
      </c>
      <c r="E342" s="4" t="s">
        <v>2128</v>
      </c>
      <c r="J342" s="4" t="s">
        <v>158</v>
      </c>
      <c r="K342" s="4" t="s">
        <v>106</v>
      </c>
      <c r="L342" s="4" t="s">
        <v>159</v>
      </c>
      <c r="N342" s="4" t="s">
        <v>120</v>
      </c>
      <c r="T342" s="4" t="s">
        <v>824</v>
      </c>
      <c r="V342" s="10"/>
      <c r="X342" s="4" t="s">
        <v>181</v>
      </c>
      <c r="Y342" s="6">
        <v>44721</v>
      </c>
      <c r="Z342" s="6"/>
      <c r="AA342" s="6"/>
    </row>
    <row r="343" spans="1:27" x14ac:dyDescent="0.35">
      <c r="A343" s="7" t="s">
        <v>2129</v>
      </c>
      <c r="B343" s="4" t="s">
        <v>2130</v>
      </c>
      <c r="D343" s="4" t="s">
        <v>2131</v>
      </c>
      <c r="E343" s="4" t="s">
        <v>2132</v>
      </c>
      <c r="F343" s="4" t="s">
        <v>103</v>
      </c>
      <c r="G343" s="4">
        <v>0.6</v>
      </c>
      <c r="H343" s="4" t="s">
        <v>2133</v>
      </c>
      <c r="I343" s="4" t="s">
        <v>10</v>
      </c>
      <c r="J343" s="4" t="s">
        <v>158</v>
      </c>
      <c r="K343" s="4" t="s">
        <v>106</v>
      </c>
      <c r="L343" s="4" t="s">
        <v>159</v>
      </c>
      <c r="N343" s="4" t="s">
        <v>120</v>
      </c>
      <c r="V343" s="10" t="s">
        <v>2134</v>
      </c>
      <c r="W343" s="4" t="s">
        <v>411</v>
      </c>
      <c r="Y343" s="6">
        <v>44721</v>
      </c>
      <c r="Z343" s="6"/>
      <c r="AA343" s="6">
        <v>44739</v>
      </c>
    </row>
    <row r="344" spans="1:27" x14ac:dyDescent="0.35">
      <c r="A344" s="7" t="s">
        <v>2609</v>
      </c>
      <c r="B344" s="4" t="s">
        <v>2135</v>
      </c>
      <c r="D344" s="4" t="s">
        <v>2136</v>
      </c>
      <c r="F344" s="4" t="s">
        <v>103</v>
      </c>
      <c r="G344" s="4">
        <v>1</v>
      </c>
      <c r="H344" s="4" t="s">
        <v>2137</v>
      </c>
      <c r="I344" s="4" t="s">
        <v>10</v>
      </c>
      <c r="J344" s="4" t="s">
        <v>158</v>
      </c>
      <c r="K344" s="4" t="s">
        <v>106</v>
      </c>
      <c r="L344" s="4" t="s">
        <v>159</v>
      </c>
      <c r="M344" s="4">
        <f>0.4816/1000</f>
        <v>4.816E-4</v>
      </c>
      <c r="N344" s="4" t="s">
        <v>120</v>
      </c>
      <c r="V344" s="10" t="s">
        <v>2134</v>
      </c>
      <c r="W344" s="4" t="s">
        <v>411</v>
      </c>
      <c r="Y344" s="6">
        <v>44721</v>
      </c>
      <c r="Z344" s="6"/>
      <c r="AA344" s="6">
        <v>44739</v>
      </c>
    </row>
    <row r="345" spans="1:27" x14ac:dyDescent="0.35">
      <c r="A345" s="7" t="s">
        <v>2138</v>
      </c>
      <c r="B345" s="4" t="s">
        <v>2139</v>
      </c>
      <c r="D345" s="4" t="s">
        <v>2140</v>
      </c>
      <c r="E345" s="4" t="s">
        <v>2141</v>
      </c>
      <c r="F345" s="4" t="s">
        <v>103</v>
      </c>
      <c r="G345" s="4">
        <v>0.5</v>
      </c>
      <c r="H345" s="4" t="s">
        <v>2142</v>
      </c>
      <c r="J345" s="4" t="s">
        <v>158</v>
      </c>
      <c r="K345" s="4" t="s">
        <v>106</v>
      </c>
      <c r="L345" s="4" t="s">
        <v>159</v>
      </c>
      <c r="N345" s="4" t="s">
        <v>120</v>
      </c>
      <c r="V345" s="10" t="s">
        <v>2134</v>
      </c>
      <c r="W345" s="4" t="s">
        <v>411</v>
      </c>
      <c r="Y345" s="6">
        <v>44721</v>
      </c>
      <c r="Z345" s="6"/>
      <c r="AA345" s="6">
        <v>44739</v>
      </c>
    </row>
    <row r="346" spans="1:27" x14ac:dyDescent="0.35">
      <c r="A346" s="7" t="s">
        <v>2143</v>
      </c>
      <c r="B346" s="4" t="s">
        <v>2144</v>
      </c>
      <c r="D346" s="4" t="s">
        <v>2145</v>
      </c>
      <c r="E346" s="4" t="s">
        <v>2146</v>
      </c>
      <c r="F346" s="4" t="s">
        <v>87</v>
      </c>
      <c r="G346" s="4">
        <v>2</v>
      </c>
      <c r="H346" s="4" t="s">
        <v>2147</v>
      </c>
      <c r="J346" s="4" t="s">
        <v>447</v>
      </c>
      <c r="K346" s="4" t="s">
        <v>106</v>
      </c>
      <c r="L346" s="4" t="s">
        <v>775</v>
      </c>
      <c r="M346" s="4">
        <f>20.03/1000</f>
        <v>2.0030000000000003E-2</v>
      </c>
      <c r="N346" s="4" t="s">
        <v>108</v>
      </c>
      <c r="T346" s="4" t="s">
        <v>221</v>
      </c>
      <c r="U346" s="10" t="s">
        <v>2148</v>
      </c>
      <c r="Y346" s="6">
        <v>44721</v>
      </c>
      <c r="Z346" s="6"/>
      <c r="AA346" s="6">
        <v>44739</v>
      </c>
    </row>
    <row r="347" spans="1:27" x14ac:dyDescent="0.35">
      <c r="A347" s="7" t="s">
        <v>2610</v>
      </c>
      <c r="B347" s="4" t="s">
        <v>2457</v>
      </c>
      <c r="C347" s="4" t="s">
        <v>2149</v>
      </c>
      <c r="D347" s="4" t="s">
        <v>2150</v>
      </c>
      <c r="E347" s="4" t="s">
        <v>2151</v>
      </c>
      <c r="F347" s="4" t="s">
        <v>178</v>
      </c>
      <c r="J347" s="4" t="s">
        <v>180</v>
      </c>
      <c r="K347" s="4" t="s">
        <v>106</v>
      </c>
      <c r="M347" s="4">
        <f>1.33/1000</f>
        <v>1.33E-3</v>
      </c>
      <c r="N347" s="4" t="s">
        <v>341</v>
      </c>
      <c r="V347" s="4" t="s">
        <v>2152</v>
      </c>
      <c r="Y347" s="6"/>
      <c r="Z347" s="6"/>
      <c r="AA347" s="6">
        <v>44739</v>
      </c>
    </row>
    <row r="348" spans="1:27" x14ac:dyDescent="0.35">
      <c r="A348" s="7" t="s">
        <v>2153</v>
      </c>
      <c r="B348" s="4" t="s">
        <v>2154</v>
      </c>
      <c r="D348" s="4" t="s">
        <v>2155</v>
      </c>
      <c r="E348" s="4" t="s">
        <v>2156</v>
      </c>
      <c r="F348" s="4" t="s">
        <v>178</v>
      </c>
      <c r="G348" s="4">
        <v>2</v>
      </c>
      <c r="H348" s="4" t="s">
        <v>2157</v>
      </c>
      <c r="J348" s="4" t="s">
        <v>180</v>
      </c>
      <c r="K348" s="4" t="s">
        <v>106</v>
      </c>
      <c r="L348" s="4" t="s">
        <v>181</v>
      </c>
      <c r="M348" s="4">
        <f>1.5/1000</f>
        <v>1.5E-3</v>
      </c>
      <c r="N348" s="4" t="s">
        <v>60</v>
      </c>
      <c r="O348" s="4" t="s">
        <v>49</v>
      </c>
      <c r="T348" s="4" t="s">
        <v>2158</v>
      </c>
      <c r="U348" s="4" t="s">
        <v>2159</v>
      </c>
      <c r="V348" s="4" t="s">
        <v>2160</v>
      </c>
      <c r="Y348" s="6">
        <v>44721</v>
      </c>
      <c r="Z348" s="6">
        <v>45062</v>
      </c>
      <c r="AA348" s="6">
        <v>44739</v>
      </c>
    </row>
    <row r="349" spans="1:27" x14ac:dyDescent="0.35">
      <c r="A349" s="7" t="s">
        <v>2611</v>
      </c>
      <c r="B349" s="4" t="s">
        <v>2161</v>
      </c>
      <c r="D349" s="4" t="s">
        <v>2162</v>
      </c>
      <c r="E349" s="4" t="s">
        <v>2163</v>
      </c>
      <c r="F349" s="4" t="s">
        <v>103</v>
      </c>
      <c r="G349" s="4">
        <v>2</v>
      </c>
      <c r="J349" s="4" t="s">
        <v>158</v>
      </c>
      <c r="K349" s="4" t="s">
        <v>106</v>
      </c>
      <c r="L349" s="4" t="s">
        <v>2164</v>
      </c>
      <c r="M349" s="4">
        <f>24.2/1000</f>
        <v>2.4199999999999999E-2</v>
      </c>
      <c r="N349" s="4" t="s">
        <v>120</v>
      </c>
      <c r="O349" s="4" t="s">
        <v>121</v>
      </c>
      <c r="P349" s="4" t="s">
        <v>49</v>
      </c>
      <c r="Q349" s="4" t="s">
        <v>38</v>
      </c>
      <c r="T349" s="4" t="s">
        <v>2165</v>
      </c>
      <c r="U349" s="4" t="s">
        <v>2166</v>
      </c>
      <c r="V349" s="4" t="s">
        <v>2167</v>
      </c>
      <c r="Y349" s="6">
        <v>44721</v>
      </c>
      <c r="Z349" s="6">
        <v>45062</v>
      </c>
      <c r="AA349" s="6">
        <v>44739</v>
      </c>
    </row>
    <row r="350" spans="1:27" x14ac:dyDescent="0.35">
      <c r="A350" s="7" t="s">
        <v>2168</v>
      </c>
      <c r="B350" s="4" t="s">
        <v>2169</v>
      </c>
      <c r="D350" s="4" t="s">
        <v>2170</v>
      </c>
      <c r="F350" s="4" t="s">
        <v>103</v>
      </c>
      <c r="H350" s="4" t="s">
        <v>2171</v>
      </c>
      <c r="I350" s="4" t="s">
        <v>10</v>
      </c>
      <c r="J350" s="4" t="s">
        <v>132</v>
      </c>
      <c r="K350" s="4" t="s">
        <v>36</v>
      </c>
      <c r="L350" s="4" t="s">
        <v>36</v>
      </c>
      <c r="M350" s="4">
        <f>26.44/1000</f>
        <v>2.6440000000000002E-2</v>
      </c>
      <c r="N350" s="4" t="s">
        <v>60</v>
      </c>
      <c r="T350" s="4" t="s">
        <v>2172</v>
      </c>
      <c r="V350" s="4" t="s">
        <v>2173</v>
      </c>
      <c r="Y350" s="6">
        <v>44721</v>
      </c>
      <c r="Z350" s="6"/>
      <c r="AA350" s="6">
        <v>45099</v>
      </c>
    </row>
    <row r="351" spans="1:27" x14ac:dyDescent="0.35">
      <c r="A351" s="7" t="s">
        <v>2174</v>
      </c>
      <c r="B351" s="4" t="s">
        <v>2175</v>
      </c>
      <c r="C351" s="4" t="s">
        <v>2176</v>
      </c>
      <c r="D351" s="4" t="s">
        <v>2177</v>
      </c>
      <c r="E351" s="4" t="s">
        <v>2178</v>
      </c>
      <c r="J351" s="4" t="s">
        <v>132</v>
      </c>
      <c r="K351" s="4" t="s">
        <v>36</v>
      </c>
      <c r="L351" s="4" t="s">
        <v>36</v>
      </c>
      <c r="N351" s="4" t="s">
        <v>60</v>
      </c>
      <c r="T351" s="4" t="s">
        <v>603</v>
      </c>
      <c r="U351" s="4" t="s">
        <v>2179</v>
      </c>
      <c r="V351" s="4" t="s">
        <v>2180</v>
      </c>
      <c r="X351" s="4" t="s">
        <v>199</v>
      </c>
      <c r="Y351" s="6">
        <v>44728</v>
      </c>
      <c r="Z351" s="6"/>
    </row>
    <row r="352" spans="1:27" x14ac:dyDescent="0.35">
      <c r="A352" s="7" t="s">
        <v>2181</v>
      </c>
      <c r="B352" s="4" t="s">
        <v>2182</v>
      </c>
      <c r="D352" s="4" t="s">
        <v>2183</v>
      </c>
      <c r="E352" s="4" t="s">
        <v>2184</v>
      </c>
      <c r="F352" s="4" t="s">
        <v>87</v>
      </c>
      <c r="G352" s="4">
        <v>1</v>
      </c>
      <c r="H352" s="4" t="s">
        <v>2185</v>
      </c>
      <c r="J352" s="4" t="s">
        <v>132</v>
      </c>
      <c r="K352" s="4" t="s">
        <v>36</v>
      </c>
      <c r="L352" s="4" t="s">
        <v>36</v>
      </c>
      <c r="M352" s="4">
        <f>4.86/1000</f>
        <v>4.8600000000000006E-3</v>
      </c>
      <c r="N352" s="4" t="s">
        <v>60</v>
      </c>
      <c r="V352" s="4" t="s">
        <v>2186</v>
      </c>
      <c r="W352" s="4" t="s">
        <v>1297</v>
      </c>
      <c r="Y352" s="6">
        <v>44721</v>
      </c>
      <c r="Z352" s="6"/>
      <c r="AA352" s="6">
        <v>45099</v>
      </c>
    </row>
    <row r="353" spans="1:36" x14ac:dyDescent="0.35">
      <c r="A353" s="7" t="s">
        <v>2612</v>
      </c>
      <c r="B353" s="4" t="s">
        <v>2187</v>
      </c>
      <c r="D353" s="4" t="s">
        <v>2188</v>
      </c>
      <c r="E353" s="4" t="s">
        <v>2189</v>
      </c>
      <c r="F353" s="4" t="s">
        <v>87</v>
      </c>
      <c r="G353" s="4" t="s">
        <v>2190</v>
      </c>
      <c r="H353" s="4" t="s">
        <v>2191</v>
      </c>
      <c r="J353" s="4" t="s">
        <v>132</v>
      </c>
      <c r="K353" s="4" t="s">
        <v>36</v>
      </c>
      <c r="L353" s="4" t="s">
        <v>36</v>
      </c>
      <c r="M353" s="4">
        <f>3/1000</f>
        <v>3.0000000000000001E-3</v>
      </c>
      <c r="N353" s="4" t="s">
        <v>60</v>
      </c>
      <c r="U353" s="4" t="s">
        <v>2192</v>
      </c>
      <c r="V353" s="4" t="s">
        <v>2186</v>
      </c>
      <c r="W353" s="4" t="s">
        <v>1297</v>
      </c>
      <c r="Y353" s="6">
        <v>44721</v>
      </c>
      <c r="Z353" s="6">
        <v>45099</v>
      </c>
      <c r="AA353" s="6">
        <v>45099</v>
      </c>
    </row>
    <row r="354" spans="1:36" x14ac:dyDescent="0.35">
      <c r="A354" s="7" t="s">
        <v>2193</v>
      </c>
      <c r="B354" s="4" t="s">
        <v>2194</v>
      </c>
      <c r="D354" s="4" t="s">
        <v>2195</v>
      </c>
      <c r="E354" s="4" t="s">
        <v>2196</v>
      </c>
      <c r="F354" s="4" t="s">
        <v>33</v>
      </c>
      <c r="G354" s="4">
        <v>10</v>
      </c>
      <c r="H354" s="4" t="s">
        <v>2197</v>
      </c>
      <c r="J354" s="4" t="s">
        <v>132</v>
      </c>
      <c r="K354" s="4" t="s">
        <v>36</v>
      </c>
      <c r="L354" s="4" t="s">
        <v>36</v>
      </c>
      <c r="M354" s="4">
        <f>1.15/1000</f>
        <v>1.15E-3</v>
      </c>
      <c r="N354" s="4" t="s">
        <v>60</v>
      </c>
      <c r="T354" s="4" t="s">
        <v>2198</v>
      </c>
      <c r="U354" s="4" t="s">
        <v>2199</v>
      </c>
      <c r="V354" s="4" t="s">
        <v>2186</v>
      </c>
      <c r="Y354" s="6">
        <v>44721</v>
      </c>
      <c r="Z354" s="6"/>
      <c r="AA354" s="6">
        <v>45099</v>
      </c>
    </row>
    <row r="355" spans="1:36" x14ac:dyDescent="0.35">
      <c r="A355" s="7" t="s">
        <v>2200</v>
      </c>
      <c r="B355" s="4" t="s">
        <v>2201</v>
      </c>
      <c r="C355" s="4" t="s">
        <v>2202</v>
      </c>
      <c r="D355" s="4" t="s">
        <v>2203</v>
      </c>
      <c r="E355" s="4" t="s">
        <v>2204</v>
      </c>
      <c r="F355" s="4" t="s">
        <v>87</v>
      </c>
      <c r="G355" s="4">
        <v>1.2</v>
      </c>
      <c r="H355" s="4" t="s">
        <v>2205</v>
      </c>
      <c r="I355" s="4" t="s">
        <v>10</v>
      </c>
      <c r="J355" s="4" t="s">
        <v>132</v>
      </c>
      <c r="K355" s="4" t="s">
        <v>36</v>
      </c>
      <c r="L355" s="4" t="s">
        <v>36</v>
      </c>
      <c r="M355" s="4">
        <f>2.78/1000</f>
        <v>2.7799999999999999E-3</v>
      </c>
      <c r="N355" s="4" t="s">
        <v>60</v>
      </c>
      <c r="T355" s="4" t="s">
        <v>1174</v>
      </c>
      <c r="V355" s="4" t="s">
        <v>2180</v>
      </c>
      <c r="Y355" s="6">
        <v>44721</v>
      </c>
      <c r="Z355" s="6"/>
      <c r="AA355" s="6">
        <v>45099</v>
      </c>
    </row>
    <row r="356" spans="1:36" x14ac:dyDescent="0.35">
      <c r="A356" s="7" t="s">
        <v>2206</v>
      </c>
      <c r="B356" s="4" t="s">
        <v>2207</v>
      </c>
      <c r="D356" s="4" t="s">
        <v>2208</v>
      </c>
      <c r="E356" s="4" t="s">
        <v>2209</v>
      </c>
      <c r="F356" s="4" t="s">
        <v>116</v>
      </c>
      <c r="G356" s="4">
        <v>8</v>
      </c>
      <c r="H356" s="4" t="s">
        <v>2210</v>
      </c>
      <c r="J356" s="4" t="s">
        <v>945</v>
      </c>
      <c r="K356" s="4" t="s">
        <v>36</v>
      </c>
      <c r="L356" s="4" t="s">
        <v>36</v>
      </c>
      <c r="M356" s="4">
        <f>6.32/1000</f>
        <v>6.3200000000000001E-3</v>
      </c>
      <c r="N356" s="4" t="s">
        <v>60</v>
      </c>
      <c r="T356" s="4" t="s">
        <v>2211</v>
      </c>
      <c r="U356" s="4" t="s">
        <v>2212</v>
      </c>
      <c r="V356" s="4" t="s">
        <v>2213</v>
      </c>
      <c r="Y356" s="6">
        <v>44721</v>
      </c>
      <c r="Z356" s="6"/>
      <c r="AA356" s="6">
        <v>45099</v>
      </c>
    </row>
    <row r="357" spans="1:36" s="3" customFormat="1" x14ac:dyDescent="0.35">
      <c r="A357" s="7" t="s">
        <v>2223</v>
      </c>
      <c r="B357" s="4" t="s">
        <v>2224</v>
      </c>
      <c r="C357" s="4"/>
      <c r="D357" s="4" t="s">
        <v>2225</v>
      </c>
      <c r="E357" s="4"/>
      <c r="F357" s="4" t="s">
        <v>87</v>
      </c>
      <c r="G357" s="4">
        <v>3</v>
      </c>
      <c r="H357" s="4"/>
      <c r="I357" s="4"/>
      <c r="J357" s="4" t="s">
        <v>447</v>
      </c>
      <c r="K357" s="4" t="s">
        <v>106</v>
      </c>
      <c r="L357" s="4" t="s">
        <v>775</v>
      </c>
      <c r="M357" s="4">
        <f>14.54/1000</f>
        <v>1.4539999999999999E-2</v>
      </c>
      <c r="N357" s="4" t="s">
        <v>108</v>
      </c>
      <c r="O357" s="4" t="s">
        <v>38</v>
      </c>
      <c r="P357" s="4" t="s">
        <v>121</v>
      </c>
      <c r="Q357" s="4" t="s">
        <v>49</v>
      </c>
      <c r="R357" s="4"/>
      <c r="S357" s="4" t="s">
        <v>2226</v>
      </c>
      <c r="T357" s="4" t="s">
        <v>2227</v>
      </c>
      <c r="U357" s="4"/>
      <c r="V357" s="4" t="s">
        <v>2228</v>
      </c>
      <c r="W357" s="4"/>
      <c r="X357" s="4"/>
      <c r="Y357" s="6">
        <v>44721</v>
      </c>
      <c r="Z357" s="6"/>
      <c r="AA357" s="6">
        <v>44739</v>
      </c>
    </row>
    <row r="358" spans="1:36" s="3" customFormat="1" x14ac:dyDescent="0.35">
      <c r="A358" s="7" t="s">
        <v>2626</v>
      </c>
      <c r="B358" s="4" t="s">
        <v>2453</v>
      </c>
      <c r="C358" s="4" t="s">
        <v>2625</v>
      </c>
      <c r="D358" s="4"/>
      <c r="E358" s="4"/>
      <c r="F358" s="4"/>
      <c r="G358" s="4"/>
      <c r="H358" s="4"/>
      <c r="I358" s="4"/>
      <c r="J358" s="4"/>
      <c r="K358" s="4" t="s">
        <v>348</v>
      </c>
      <c r="L358" s="4"/>
      <c r="M358" s="4"/>
      <c r="N358" s="4"/>
      <c r="O358" s="4"/>
      <c r="P358" s="4"/>
      <c r="Q358" s="4"/>
      <c r="R358" s="4"/>
      <c r="S358" s="4"/>
      <c r="T358" s="4"/>
      <c r="U358" s="4"/>
      <c r="V358" s="4"/>
      <c r="W358" s="4"/>
      <c r="X358" s="4"/>
      <c r="Y358" s="6"/>
      <c r="Z358" s="6"/>
      <c r="AA358" s="6"/>
    </row>
    <row r="359" spans="1:36" s="3" customFormat="1" x14ac:dyDescent="0.35">
      <c r="A359" s="7" t="s">
        <v>2613</v>
      </c>
      <c r="B359" s="4" t="s">
        <v>2229</v>
      </c>
      <c r="C359" s="4"/>
      <c r="D359" s="4" t="s">
        <v>2230</v>
      </c>
      <c r="E359" s="4"/>
      <c r="F359" s="4" t="s">
        <v>87</v>
      </c>
      <c r="G359" s="4">
        <v>1.5</v>
      </c>
      <c r="H359" s="4"/>
      <c r="I359" s="4"/>
      <c r="J359" s="4" t="s">
        <v>272</v>
      </c>
      <c r="K359" s="4" t="s">
        <v>106</v>
      </c>
      <c r="L359" s="4" t="s">
        <v>181</v>
      </c>
      <c r="M359" s="4">
        <f>0.05424/1000</f>
        <v>5.4239999999999996E-5</v>
      </c>
      <c r="N359" s="4" t="s">
        <v>2415</v>
      </c>
      <c r="O359" s="4"/>
      <c r="P359" s="4"/>
      <c r="Q359" s="4"/>
      <c r="R359" s="4"/>
      <c r="S359" s="4"/>
      <c r="T359" s="4" t="s">
        <v>2231</v>
      </c>
      <c r="U359" s="4"/>
      <c r="V359" s="4" t="s">
        <v>2232</v>
      </c>
      <c r="W359" s="4"/>
      <c r="X359" s="4"/>
      <c r="Y359" s="6">
        <v>44721</v>
      </c>
      <c r="Z359" s="6"/>
      <c r="AA359" s="6">
        <v>44739</v>
      </c>
    </row>
    <row r="360" spans="1:36" s="3" customFormat="1" x14ac:dyDescent="0.35">
      <c r="A360" s="7" t="s">
        <v>2614</v>
      </c>
      <c r="B360" s="4" t="s">
        <v>2644</v>
      </c>
      <c r="C360" s="4" t="s">
        <v>2233</v>
      </c>
      <c r="D360" s="4" t="s">
        <v>2234</v>
      </c>
      <c r="E360" s="4" t="s">
        <v>2235</v>
      </c>
      <c r="F360" s="4"/>
      <c r="G360" s="4"/>
      <c r="H360" s="4"/>
      <c r="I360" s="4"/>
      <c r="J360" s="4" t="s">
        <v>180</v>
      </c>
      <c r="K360" s="4" t="s">
        <v>106</v>
      </c>
      <c r="L360" s="4"/>
      <c r="M360" s="4"/>
      <c r="N360" s="4"/>
      <c r="O360" s="4"/>
      <c r="P360" s="4"/>
      <c r="Q360" s="4"/>
      <c r="R360" s="4"/>
      <c r="S360" s="4"/>
      <c r="T360" s="4"/>
      <c r="U360" s="4"/>
      <c r="V360" s="4"/>
      <c r="W360" s="4"/>
      <c r="X360" s="4" t="s">
        <v>181</v>
      </c>
      <c r="Y360" s="6">
        <v>44728</v>
      </c>
      <c r="Z360" s="6"/>
      <c r="AA360" s="4"/>
    </row>
    <row r="361" spans="1:36" s="3" customFormat="1" x14ac:dyDescent="0.35">
      <c r="A361" s="7" t="s">
        <v>2615</v>
      </c>
      <c r="B361" s="4" t="s">
        <v>2645</v>
      </c>
      <c r="C361" s="4" t="s">
        <v>2214</v>
      </c>
      <c r="D361" s="4" t="s">
        <v>2215</v>
      </c>
      <c r="E361" s="4" t="s">
        <v>2216</v>
      </c>
      <c r="F361" s="4"/>
      <c r="G361" s="4"/>
      <c r="H361" s="4"/>
      <c r="I361" s="4"/>
      <c r="J361" s="4" t="s">
        <v>180</v>
      </c>
      <c r="K361" s="4" t="s">
        <v>200</v>
      </c>
      <c r="L361" s="4"/>
      <c r="M361" s="4"/>
      <c r="N361" s="4"/>
      <c r="O361" s="4"/>
      <c r="P361" s="4"/>
      <c r="Q361" s="4"/>
      <c r="R361" s="4"/>
      <c r="S361" s="4"/>
      <c r="T361" s="4"/>
      <c r="U361" s="4"/>
      <c r="V361" s="4"/>
      <c r="W361" s="4"/>
      <c r="X361" s="4" t="s">
        <v>181</v>
      </c>
      <c r="Y361" s="6">
        <v>44721</v>
      </c>
      <c r="Z361" s="6"/>
      <c r="AA361" s="4"/>
    </row>
    <row r="362" spans="1:36" s="3" customFormat="1" x14ac:dyDescent="0.35">
      <c r="A362" s="7" t="s">
        <v>2616</v>
      </c>
      <c r="B362" s="4" t="s">
        <v>2647</v>
      </c>
      <c r="C362" s="4" t="s">
        <v>2217</v>
      </c>
      <c r="D362" s="4" t="s">
        <v>2218</v>
      </c>
      <c r="E362" s="4" t="s">
        <v>2219</v>
      </c>
      <c r="F362" s="4" t="s">
        <v>178</v>
      </c>
      <c r="G362" s="4">
        <v>1</v>
      </c>
      <c r="H362" s="4" t="s">
        <v>2220</v>
      </c>
      <c r="I362" s="4"/>
      <c r="J362" s="4" t="s">
        <v>180</v>
      </c>
      <c r="K362" s="4" t="s">
        <v>200</v>
      </c>
      <c r="L362" s="4" t="s">
        <v>181</v>
      </c>
      <c r="M362" s="4"/>
      <c r="N362" s="4" t="s">
        <v>49</v>
      </c>
      <c r="O362" s="4" t="s">
        <v>2415</v>
      </c>
      <c r="P362" s="4"/>
      <c r="Q362" s="4"/>
      <c r="R362" s="4"/>
      <c r="S362" s="4"/>
      <c r="T362" s="4" t="s">
        <v>2221</v>
      </c>
      <c r="U362" s="4" t="s">
        <v>2222</v>
      </c>
      <c r="V362" s="4"/>
      <c r="W362" s="4"/>
      <c r="X362" s="4"/>
      <c r="Y362" s="6">
        <v>44721</v>
      </c>
      <c r="Z362" s="6">
        <v>45062</v>
      </c>
      <c r="AA362" s="4"/>
    </row>
    <row r="363" spans="1:36" x14ac:dyDescent="0.35">
      <c r="A363" s="7" t="s">
        <v>2236</v>
      </c>
      <c r="B363" s="4" t="s">
        <v>2237</v>
      </c>
      <c r="D363" s="4" t="s">
        <v>2238</v>
      </c>
      <c r="E363" s="4" t="s">
        <v>2239</v>
      </c>
      <c r="F363" s="4" t="s">
        <v>178</v>
      </c>
      <c r="G363" s="4">
        <v>0.25</v>
      </c>
      <c r="H363" s="4" t="s">
        <v>2240</v>
      </c>
      <c r="J363" s="4" t="s">
        <v>180</v>
      </c>
      <c r="K363" s="4" t="s">
        <v>106</v>
      </c>
      <c r="L363" s="4" t="s">
        <v>2241</v>
      </c>
      <c r="M363" s="4">
        <f>1.7748/1000</f>
        <v>1.7748E-3</v>
      </c>
      <c r="N363" s="4" t="s">
        <v>2415</v>
      </c>
      <c r="O363" s="4" t="s">
        <v>121</v>
      </c>
      <c r="T363" s="4" t="s">
        <v>221</v>
      </c>
      <c r="U363" s="4" t="s">
        <v>2242</v>
      </c>
      <c r="Y363" s="6">
        <v>44721</v>
      </c>
      <c r="Z363" s="6">
        <v>45062</v>
      </c>
      <c r="AA363" s="6">
        <v>44739</v>
      </c>
      <c r="AC363" s="3"/>
    </row>
    <row r="364" spans="1:36" s="3" customFormat="1" x14ac:dyDescent="0.35">
      <c r="A364" s="7" t="s">
        <v>2617</v>
      </c>
      <c r="B364" s="4" t="s">
        <v>2459</v>
      </c>
      <c r="C364" s="4" t="s">
        <v>968</v>
      </c>
      <c r="D364" s="4" t="s">
        <v>969</v>
      </c>
      <c r="E364" s="4" t="s">
        <v>2475</v>
      </c>
      <c r="F364" s="4" t="s">
        <v>33</v>
      </c>
      <c r="G364" s="4">
        <v>10</v>
      </c>
      <c r="H364" s="4" t="s">
        <v>2476</v>
      </c>
      <c r="I364" s="4"/>
      <c r="J364" s="4" t="s">
        <v>2249</v>
      </c>
      <c r="K364" s="4" t="s">
        <v>36</v>
      </c>
      <c r="L364" s="4" t="s">
        <v>36</v>
      </c>
      <c r="M364" s="4">
        <f>97.92/1000</f>
        <v>9.7920000000000007E-2</v>
      </c>
      <c r="N364" s="4" t="s">
        <v>60</v>
      </c>
      <c r="O364" s="4"/>
      <c r="P364" s="4"/>
      <c r="Q364" s="4"/>
      <c r="R364" s="4"/>
      <c r="S364" s="4"/>
      <c r="T364" s="4" t="s">
        <v>776</v>
      </c>
      <c r="U364" s="4" t="s">
        <v>2477</v>
      </c>
      <c r="V364" s="15"/>
      <c r="W364" s="4"/>
      <c r="X364" s="4"/>
      <c r="Y364" s="6"/>
      <c r="Z364" s="6"/>
      <c r="AA364" s="6">
        <v>44733</v>
      </c>
      <c r="AC364"/>
      <c r="AD364"/>
      <c r="AG364"/>
      <c r="AH364"/>
      <c r="AI364"/>
      <c r="AJ364"/>
    </row>
    <row r="365" spans="1:36" x14ac:dyDescent="0.35">
      <c r="A365" s="7" t="s">
        <v>2243</v>
      </c>
      <c r="B365" s="4" t="s">
        <v>2244</v>
      </c>
      <c r="C365" s="4" t="s">
        <v>2245</v>
      </c>
      <c r="D365" s="4" t="s">
        <v>2246</v>
      </c>
      <c r="E365" s="4" t="s">
        <v>2247</v>
      </c>
      <c r="F365" s="4" t="s">
        <v>116</v>
      </c>
      <c r="G365" s="4">
        <v>15</v>
      </c>
      <c r="H365" s="4" t="s">
        <v>2248</v>
      </c>
      <c r="J365" s="4" t="s">
        <v>2249</v>
      </c>
      <c r="K365" s="4" t="s">
        <v>36</v>
      </c>
      <c r="L365" s="4" t="s">
        <v>36</v>
      </c>
      <c r="M365" s="4">
        <f>173.15/1000</f>
        <v>0.17315</v>
      </c>
      <c r="N365" s="4" t="s">
        <v>60</v>
      </c>
      <c r="T365" s="4" t="s">
        <v>2250</v>
      </c>
      <c r="U365" s="4" t="s">
        <v>2251</v>
      </c>
      <c r="Y365" s="6">
        <v>44721</v>
      </c>
      <c r="Z365" s="6"/>
      <c r="AA365" s="6">
        <v>45099</v>
      </c>
      <c r="AG365" s="3"/>
      <c r="AH365" s="3"/>
      <c r="AI365" s="3"/>
      <c r="AJ365" s="3"/>
    </row>
    <row r="366" spans="1:36" x14ac:dyDescent="0.35">
      <c r="A366" s="7" t="s">
        <v>2618</v>
      </c>
      <c r="B366" s="4" t="s">
        <v>2253</v>
      </c>
      <c r="C366" s="4" t="s">
        <v>2252</v>
      </c>
      <c r="D366" s="4" t="s">
        <v>2254</v>
      </c>
      <c r="E366" s="4" t="s">
        <v>2255</v>
      </c>
      <c r="F366" s="4" t="s">
        <v>87</v>
      </c>
      <c r="G366" s="4">
        <v>4</v>
      </c>
      <c r="J366" s="4" t="s">
        <v>105</v>
      </c>
      <c r="K366" s="4" t="s">
        <v>106</v>
      </c>
      <c r="M366" s="4">
        <f>2.1476/1000</f>
        <v>2.1476000000000004E-3</v>
      </c>
      <c r="N366" s="4" t="s">
        <v>120</v>
      </c>
      <c r="T366" s="4" t="s">
        <v>2256</v>
      </c>
      <c r="U366" s="4" t="s">
        <v>2257</v>
      </c>
      <c r="V366" s="4" t="s">
        <v>2258</v>
      </c>
      <c r="X366" s="4" t="s">
        <v>199</v>
      </c>
      <c r="Y366" s="6">
        <v>44721</v>
      </c>
      <c r="Z366" s="6"/>
      <c r="AA366" s="6">
        <v>44739</v>
      </c>
    </row>
    <row r="367" spans="1:36" s="7" customFormat="1" x14ac:dyDescent="0.35">
      <c r="A367" s="4" t="s">
        <v>2627</v>
      </c>
      <c r="B367" s="4" t="s">
        <v>2646</v>
      </c>
      <c r="C367" s="7" t="s">
        <v>2629</v>
      </c>
      <c r="D367" s="4" t="s">
        <v>2259</v>
      </c>
      <c r="E367" s="4" t="s">
        <v>2653</v>
      </c>
      <c r="F367" s="4" t="s">
        <v>178</v>
      </c>
      <c r="G367" s="4">
        <v>1.25</v>
      </c>
      <c r="H367" s="4" t="s">
        <v>2260</v>
      </c>
      <c r="I367" s="4"/>
      <c r="J367" s="4" t="s">
        <v>180</v>
      </c>
      <c r="K367" s="4" t="s">
        <v>106</v>
      </c>
      <c r="L367" s="4" t="s">
        <v>181</v>
      </c>
      <c r="M367" s="4"/>
      <c r="N367" s="4" t="s">
        <v>49</v>
      </c>
      <c r="O367" s="4"/>
      <c r="P367" s="4"/>
      <c r="Q367" s="4"/>
      <c r="R367" s="4"/>
      <c r="S367" s="4"/>
      <c r="T367" s="4" t="s">
        <v>2261</v>
      </c>
      <c r="U367" s="8" t="s">
        <v>2262</v>
      </c>
      <c r="V367" s="4" t="s">
        <v>2263</v>
      </c>
      <c r="W367" s="4"/>
      <c r="X367" s="4"/>
      <c r="Y367" s="6">
        <v>45062</v>
      </c>
      <c r="Z367" s="6">
        <v>45062</v>
      </c>
      <c r="AA367" s="6">
        <v>45062</v>
      </c>
    </row>
    <row r="368" spans="1:36" s="7" customFormat="1" x14ac:dyDescent="0.35">
      <c r="A368" s="4" t="s">
        <v>2628</v>
      </c>
      <c r="B368" s="4" t="s">
        <v>2454</v>
      </c>
      <c r="C368" s="7" t="s">
        <v>2634</v>
      </c>
      <c r="D368" s="4" t="s">
        <v>2525</v>
      </c>
      <c r="E368" s="4" t="s">
        <v>2652</v>
      </c>
      <c r="F368" s="4" t="s">
        <v>178</v>
      </c>
      <c r="G368" s="4">
        <v>2</v>
      </c>
      <c r="H368" s="4"/>
      <c r="I368" s="4"/>
      <c r="J368" s="4" t="s">
        <v>180</v>
      </c>
      <c r="K368" s="4" t="s">
        <v>106</v>
      </c>
      <c r="L368" s="4" t="s">
        <v>181</v>
      </c>
      <c r="M368" s="4"/>
      <c r="N368" s="4" t="s">
        <v>60</v>
      </c>
      <c r="O368" s="4"/>
      <c r="P368" s="4"/>
      <c r="Q368" s="4"/>
      <c r="R368" s="4"/>
      <c r="S368" s="4"/>
      <c r="T368" s="4" t="s">
        <v>2527</v>
      </c>
      <c r="U368" s="4" t="s">
        <v>2526</v>
      </c>
      <c r="V368" s="4"/>
      <c r="W368" s="4"/>
      <c r="X368" s="4"/>
      <c r="Y368" s="6"/>
      <c r="Z368" s="6"/>
      <c r="AA368" s="6">
        <v>45202</v>
      </c>
    </row>
    <row r="369" spans="1:27" x14ac:dyDescent="0.35">
      <c r="A369" s="7" t="s">
        <v>2264</v>
      </c>
      <c r="B369" s="4" t="s">
        <v>2265</v>
      </c>
      <c r="D369" s="4" t="s">
        <v>2266</v>
      </c>
      <c r="E369" s="4" t="s">
        <v>2267</v>
      </c>
      <c r="F369" s="4" t="s">
        <v>103</v>
      </c>
      <c r="J369" s="4" t="s">
        <v>105</v>
      </c>
      <c r="K369" s="4" t="s">
        <v>106</v>
      </c>
      <c r="L369" s="4" t="s">
        <v>1051</v>
      </c>
      <c r="M369" s="4">
        <f>25.11/1000</f>
        <v>2.511E-2</v>
      </c>
      <c r="N369" s="4" t="s">
        <v>108</v>
      </c>
      <c r="S369" s="4" t="s">
        <v>2268</v>
      </c>
      <c r="T369" s="4" t="s">
        <v>2269</v>
      </c>
      <c r="V369" s="4" t="s">
        <v>2270</v>
      </c>
      <c r="Y369" s="6">
        <v>44721</v>
      </c>
      <c r="Z369" s="6">
        <v>44728</v>
      </c>
      <c r="AA369" s="6">
        <v>44739</v>
      </c>
    </row>
    <row r="370" spans="1:27" x14ac:dyDescent="0.35">
      <c r="A370" s="7" t="s">
        <v>2271</v>
      </c>
      <c r="B370" s="4" t="s">
        <v>2272</v>
      </c>
      <c r="D370" s="4" t="s">
        <v>2273</v>
      </c>
      <c r="F370" s="4" t="s">
        <v>87</v>
      </c>
      <c r="G370" s="4">
        <v>0.3</v>
      </c>
      <c r="H370" s="4" t="s">
        <v>2274</v>
      </c>
      <c r="I370" s="4" t="s">
        <v>10</v>
      </c>
      <c r="J370" s="4" t="s">
        <v>853</v>
      </c>
      <c r="K370" s="4" t="s">
        <v>106</v>
      </c>
      <c r="L370" s="4" t="s">
        <v>181</v>
      </c>
      <c r="M370" s="4">
        <f>1.38/1000</f>
        <v>1.3799999999999999E-3</v>
      </c>
      <c r="N370" s="4" t="s">
        <v>49</v>
      </c>
      <c r="S370" s="4" t="s">
        <v>2275</v>
      </c>
      <c r="T370" s="4" t="s">
        <v>2276</v>
      </c>
      <c r="V370" s="4" t="s">
        <v>2277</v>
      </c>
      <c r="W370" s="4" t="s">
        <v>2278</v>
      </c>
      <c r="Y370" s="6">
        <v>44721</v>
      </c>
      <c r="Z370" s="6">
        <v>45062</v>
      </c>
      <c r="AA370" s="6">
        <v>44739</v>
      </c>
    </row>
    <row r="371" spans="1:27" x14ac:dyDescent="0.35">
      <c r="A371" s="7" t="s">
        <v>2279</v>
      </c>
      <c r="B371" s="4" t="s">
        <v>2280</v>
      </c>
      <c r="C371" s="4" t="s">
        <v>2281</v>
      </c>
      <c r="D371" s="4" t="s">
        <v>2282</v>
      </c>
      <c r="E371" s="4" t="s">
        <v>2283</v>
      </c>
      <c r="F371" s="4" t="s">
        <v>116</v>
      </c>
      <c r="G371" s="4">
        <v>5</v>
      </c>
      <c r="H371" s="4" t="s">
        <v>2430</v>
      </c>
      <c r="J371" s="4" t="s">
        <v>675</v>
      </c>
      <c r="K371" s="4" t="s">
        <v>36</v>
      </c>
      <c r="L371" s="4" t="s">
        <v>36</v>
      </c>
      <c r="M371" s="4">
        <f>63.08/1000</f>
        <v>6.3079999999999997E-2</v>
      </c>
      <c r="N371" s="4" t="s">
        <v>60</v>
      </c>
      <c r="T371" s="4" t="s">
        <v>2284</v>
      </c>
      <c r="U371" s="4" t="s">
        <v>2285</v>
      </c>
      <c r="V371" s="4" t="s">
        <v>2286</v>
      </c>
      <c r="Y371" s="6">
        <v>44721</v>
      </c>
      <c r="Z371" s="6"/>
      <c r="AA371" s="6">
        <v>44734</v>
      </c>
    </row>
    <row r="372" spans="1:27" x14ac:dyDescent="0.35">
      <c r="A372" s="7" t="s">
        <v>2619</v>
      </c>
      <c r="B372" s="4" t="s">
        <v>2287</v>
      </c>
      <c r="D372" s="4" t="s">
        <v>2288</v>
      </c>
      <c r="E372" s="4" t="s">
        <v>2289</v>
      </c>
      <c r="F372" s="4" t="s">
        <v>116</v>
      </c>
      <c r="G372" s="4">
        <v>12</v>
      </c>
      <c r="H372" s="4" t="s">
        <v>2290</v>
      </c>
      <c r="I372" s="4" t="s">
        <v>10</v>
      </c>
      <c r="J372" s="4" t="s">
        <v>675</v>
      </c>
      <c r="K372" s="4" t="s">
        <v>36</v>
      </c>
      <c r="L372" s="4" t="s">
        <v>36</v>
      </c>
      <c r="M372" s="4">
        <f>181.28/1000</f>
        <v>0.18128</v>
      </c>
      <c r="N372" s="4" t="s">
        <v>60</v>
      </c>
      <c r="T372" s="4" t="s">
        <v>140</v>
      </c>
      <c r="U372" s="4" t="s">
        <v>2291</v>
      </c>
      <c r="Y372" s="6">
        <v>44721</v>
      </c>
      <c r="Z372" s="6">
        <v>45100</v>
      </c>
      <c r="AA372" s="6">
        <v>45100</v>
      </c>
    </row>
    <row r="373" spans="1:27" x14ac:dyDescent="0.35">
      <c r="A373" s="7" t="s">
        <v>2292</v>
      </c>
      <c r="B373" s="4" t="s">
        <v>2293</v>
      </c>
      <c r="D373" s="4" t="s">
        <v>2294</v>
      </c>
      <c r="J373" s="4" t="s">
        <v>105</v>
      </c>
      <c r="K373" s="4" t="s">
        <v>106</v>
      </c>
      <c r="X373" s="4" t="s">
        <v>181</v>
      </c>
      <c r="Y373" s="6">
        <v>44721</v>
      </c>
      <c r="Z373" s="6"/>
    </row>
    <row r="374" spans="1:27" x14ac:dyDescent="0.35">
      <c r="A374" s="7" t="s">
        <v>2295</v>
      </c>
      <c r="B374" s="4" t="s">
        <v>2296</v>
      </c>
      <c r="D374" s="4" t="s">
        <v>2297</v>
      </c>
      <c r="F374" s="4" t="s">
        <v>103</v>
      </c>
      <c r="G374" s="4">
        <v>2</v>
      </c>
      <c r="H374" s="4" t="s">
        <v>2298</v>
      </c>
      <c r="I374" s="4" t="s">
        <v>10</v>
      </c>
      <c r="J374" s="4" t="s">
        <v>2299</v>
      </c>
      <c r="K374" s="4" t="s">
        <v>106</v>
      </c>
      <c r="L374" s="4" t="s">
        <v>997</v>
      </c>
      <c r="M374" s="4">
        <f>146.7/1000</f>
        <v>0.1467</v>
      </c>
      <c r="N374" s="4" t="s">
        <v>49</v>
      </c>
      <c r="O374" s="4" t="s">
        <v>60</v>
      </c>
      <c r="T374" s="4" t="s">
        <v>2300</v>
      </c>
      <c r="U374" s="4" t="s">
        <v>2301</v>
      </c>
      <c r="V374" s="4" t="s">
        <v>2302</v>
      </c>
      <c r="Y374" s="6">
        <v>44721</v>
      </c>
      <c r="Z374" s="6">
        <v>45063</v>
      </c>
      <c r="AA374" s="6">
        <v>44739</v>
      </c>
    </row>
    <row r="375" spans="1:27" x14ac:dyDescent="0.35">
      <c r="A375" s="7" t="s">
        <v>2303</v>
      </c>
      <c r="B375" s="4" t="s">
        <v>2304</v>
      </c>
      <c r="D375" s="4" t="s">
        <v>2305</v>
      </c>
      <c r="E375" s="4" t="s">
        <v>2306</v>
      </c>
      <c r="F375" s="4" t="s">
        <v>130</v>
      </c>
      <c r="H375" s="4" t="s">
        <v>2307</v>
      </c>
      <c r="I375" s="4" t="s">
        <v>10</v>
      </c>
      <c r="J375" s="4" t="s">
        <v>1004</v>
      </c>
      <c r="K375" s="4" t="s">
        <v>36</v>
      </c>
      <c r="L375" s="4" t="s">
        <v>36</v>
      </c>
      <c r="N375" s="4" t="s">
        <v>60</v>
      </c>
      <c r="T375" s="4" t="s">
        <v>2308</v>
      </c>
      <c r="U375" s="4" t="s">
        <v>2309</v>
      </c>
      <c r="Y375" s="6">
        <v>44721</v>
      </c>
      <c r="Z375" s="6">
        <v>45100</v>
      </c>
      <c r="AA375" s="6">
        <v>45100</v>
      </c>
    </row>
    <row r="376" spans="1:27" x14ac:dyDescent="0.35">
      <c r="A376" s="7" t="s">
        <v>2310</v>
      </c>
      <c r="B376" s="4" t="s">
        <v>2311</v>
      </c>
      <c r="D376" s="4" t="s">
        <v>2312</v>
      </c>
      <c r="E376" s="4" t="s">
        <v>2313</v>
      </c>
      <c r="F376" s="4" t="s">
        <v>103</v>
      </c>
      <c r="G376" s="4">
        <v>0.3</v>
      </c>
      <c r="H376" s="4" t="s">
        <v>2314</v>
      </c>
      <c r="J376" s="4" t="s">
        <v>158</v>
      </c>
      <c r="K376" s="4" t="s">
        <v>106</v>
      </c>
      <c r="L376" s="4" t="s">
        <v>159</v>
      </c>
      <c r="M376" s="4">
        <f>0.3/1000</f>
        <v>2.9999999999999997E-4</v>
      </c>
      <c r="N376" s="4" t="s">
        <v>120</v>
      </c>
      <c r="T376" s="4" t="s">
        <v>2315</v>
      </c>
      <c r="V376" s="4" t="s">
        <v>2316</v>
      </c>
      <c r="Y376" s="6">
        <v>44721</v>
      </c>
      <c r="Z376" s="6"/>
      <c r="AA376" s="6">
        <v>44739</v>
      </c>
    </row>
    <row r="377" spans="1:27" x14ac:dyDescent="0.35">
      <c r="A377" s="7" t="s">
        <v>2317</v>
      </c>
      <c r="B377" s="4" t="s">
        <v>2318</v>
      </c>
      <c r="D377" s="4" t="s">
        <v>2319</v>
      </c>
      <c r="E377" s="4" t="s">
        <v>2320</v>
      </c>
      <c r="F377" s="4" t="s">
        <v>87</v>
      </c>
      <c r="G377" s="4">
        <v>2</v>
      </c>
      <c r="H377" s="4" t="s">
        <v>2321</v>
      </c>
      <c r="J377" s="4" t="s">
        <v>2249</v>
      </c>
      <c r="K377" s="4" t="s">
        <v>36</v>
      </c>
      <c r="L377" s="4" t="s">
        <v>36</v>
      </c>
      <c r="M377" s="4">
        <f>0.91/1000</f>
        <v>9.1E-4</v>
      </c>
      <c r="N377" s="4" t="s">
        <v>60</v>
      </c>
      <c r="T377" s="4" t="s">
        <v>2322</v>
      </c>
      <c r="U377" s="4" t="s">
        <v>2323</v>
      </c>
      <c r="Y377" s="6">
        <v>44721</v>
      </c>
      <c r="Z377" s="6">
        <v>45100</v>
      </c>
      <c r="AA377" s="6">
        <v>45100</v>
      </c>
    </row>
    <row r="378" spans="1:27" x14ac:dyDescent="0.35">
      <c r="A378" s="7" t="s">
        <v>2324</v>
      </c>
      <c r="B378" s="4" t="s">
        <v>2325</v>
      </c>
      <c r="D378" s="4" t="s">
        <v>2326</v>
      </c>
      <c r="F378" s="4" t="s">
        <v>87</v>
      </c>
      <c r="G378" s="4">
        <v>2</v>
      </c>
      <c r="H378" s="4" t="s">
        <v>2327</v>
      </c>
      <c r="I378" s="4" t="s">
        <v>10</v>
      </c>
      <c r="J378" s="4" t="s">
        <v>447</v>
      </c>
      <c r="K378" s="4" t="s">
        <v>106</v>
      </c>
      <c r="L378" s="4" t="s">
        <v>780</v>
      </c>
      <c r="M378" s="4">
        <f>6.54/1000</f>
        <v>6.5399999999999998E-3</v>
      </c>
      <c r="N378" s="4" t="s">
        <v>108</v>
      </c>
      <c r="O378" s="4" t="s">
        <v>38</v>
      </c>
      <c r="P378" s="4" t="s">
        <v>49</v>
      </c>
      <c r="Q378" s="4" t="s">
        <v>60</v>
      </c>
      <c r="R378" s="4" t="s">
        <v>121</v>
      </c>
      <c r="S378" s="4" t="s">
        <v>2328</v>
      </c>
      <c r="T378" s="4" t="s">
        <v>2329</v>
      </c>
      <c r="U378" s="4" t="s">
        <v>2330</v>
      </c>
      <c r="V378" s="4" t="s">
        <v>2331</v>
      </c>
      <c r="Y378" s="6">
        <v>44721</v>
      </c>
      <c r="Z378" s="6">
        <v>45063</v>
      </c>
      <c r="AA378" s="6">
        <v>45063</v>
      </c>
    </row>
    <row r="379" spans="1:27" x14ac:dyDescent="0.35">
      <c r="A379" s="7" t="s">
        <v>2332</v>
      </c>
      <c r="B379" s="4" t="s">
        <v>2333</v>
      </c>
      <c r="K379" s="4" t="s">
        <v>2334</v>
      </c>
      <c r="Y379" s="6"/>
      <c r="Z379" s="6"/>
    </row>
    <row r="380" spans="1:27" x14ac:dyDescent="0.35">
      <c r="A380" s="7" t="s">
        <v>2335</v>
      </c>
      <c r="B380" s="4" t="s">
        <v>2336</v>
      </c>
      <c r="C380" s="4" t="s">
        <v>2337</v>
      </c>
      <c r="D380" s="4" t="s">
        <v>2338</v>
      </c>
      <c r="E380" s="4" t="s">
        <v>2339</v>
      </c>
      <c r="F380" s="4" t="s">
        <v>103</v>
      </c>
      <c r="G380" s="4">
        <v>0.3</v>
      </c>
      <c r="H380" s="4" t="s">
        <v>2340</v>
      </c>
      <c r="J380" s="4" t="s">
        <v>105</v>
      </c>
      <c r="K380" s="4" t="s">
        <v>200</v>
      </c>
      <c r="M380" s="4">
        <f>0.046/1000</f>
        <v>4.6E-5</v>
      </c>
      <c r="N380" s="4" t="s">
        <v>49</v>
      </c>
      <c r="O380" s="4" t="s">
        <v>60</v>
      </c>
      <c r="T380" s="4" t="s">
        <v>2341</v>
      </c>
      <c r="U380" s="4" t="s">
        <v>2342</v>
      </c>
      <c r="Y380" s="6">
        <v>44721</v>
      </c>
      <c r="Z380" s="6">
        <v>45063</v>
      </c>
      <c r="AA380" s="6">
        <v>45063</v>
      </c>
    </row>
    <row r="381" spans="1:27" x14ac:dyDescent="0.35">
      <c r="A381" s="7" t="s">
        <v>2343</v>
      </c>
      <c r="B381" s="4" t="s">
        <v>2344</v>
      </c>
      <c r="D381" s="4" t="s">
        <v>2345</v>
      </c>
      <c r="E381" s="4" t="s">
        <v>2346</v>
      </c>
      <c r="F381" s="4" t="s">
        <v>103</v>
      </c>
      <c r="H381" s="4" t="s">
        <v>2347</v>
      </c>
      <c r="I381" s="4" t="s">
        <v>10</v>
      </c>
      <c r="K381" s="4" t="s">
        <v>200</v>
      </c>
      <c r="T381" s="4" t="s">
        <v>27</v>
      </c>
      <c r="U381" s="4" t="s">
        <v>2348</v>
      </c>
      <c r="X381" s="4" t="s">
        <v>181</v>
      </c>
      <c r="Y381" s="6">
        <v>44721</v>
      </c>
      <c r="Z381" s="6">
        <v>45063</v>
      </c>
    </row>
    <row r="382" spans="1:27" x14ac:dyDescent="0.35">
      <c r="A382" s="7" t="s">
        <v>2349</v>
      </c>
      <c r="B382" s="4" t="s">
        <v>2350</v>
      </c>
      <c r="D382" s="4" t="s">
        <v>2351</v>
      </c>
      <c r="E382" s="4" t="s">
        <v>2352</v>
      </c>
      <c r="F382" s="4" t="s">
        <v>103</v>
      </c>
      <c r="G382" s="4">
        <v>1</v>
      </c>
      <c r="H382" s="4" t="s">
        <v>2353</v>
      </c>
      <c r="J382" s="4" t="s">
        <v>105</v>
      </c>
      <c r="K382" s="4" t="s">
        <v>106</v>
      </c>
      <c r="L382" s="4" t="s">
        <v>181</v>
      </c>
      <c r="M382" s="4">
        <f>0.1/1000</f>
        <v>1E-4</v>
      </c>
      <c r="N382" s="4" t="s">
        <v>2415</v>
      </c>
      <c r="S382" s="4" t="s">
        <v>2354</v>
      </c>
      <c r="T382" s="4" t="s">
        <v>2355</v>
      </c>
      <c r="V382" s="4" t="s">
        <v>2356</v>
      </c>
      <c r="Y382" s="6">
        <v>44721</v>
      </c>
      <c r="Z382" s="6">
        <v>45063</v>
      </c>
      <c r="AA382" s="6">
        <v>44739</v>
      </c>
    </row>
    <row r="383" spans="1:27" x14ac:dyDescent="0.35">
      <c r="A383" s="7" t="s">
        <v>2357</v>
      </c>
      <c r="B383" s="4" t="s">
        <v>2358</v>
      </c>
      <c r="D383" s="4" t="s">
        <v>2359</v>
      </c>
      <c r="E383" s="4" t="s">
        <v>2360</v>
      </c>
      <c r="F383" s="4" t="s">
        <v>103</v>
      </c>
      <c r="H383" s="4" t="s">
        <v>2361</v>
      </c>
      <c r="I383" s="4" t="s">
        <v>10</v>
      </c>
      <c r="J383" s="4" t="s">
        <v>2362</v>
      </c>
      <c r="K383" s="4" t="s">
        <v>106</v>
      </c>
      <c r="L383" s="4" t="s">
        <v>181</v>
      </c>
      <c r="M383" s="4">
        <f>19.4088/1000</f>
        <v>1.94088E-2</v>
      </c>
      <c r="N383" s="4" t="s">
        <v>38</v>
      </c>
      <c r="T383" s="4" t="s">
        <v>2363</v>
      </c>
      <c r="U383" s="4" t="s">
        <v>471</v>
      </c>
      <c r="V383" s="4" t="s">
        <v>2364</v>
      </c>
      <c r="Y383" s="6">
        <v>44721</v>
      </c>
      <c r="Z383" s="6">
        <v>45063</v>
      </c>
      <c r="AA383" s="6">
        <v>45063</v>
      </c>
    </row>
    <row r="384" spans="1:27" x14ac:dyDescent="0.35">
      <c r="A384" s="7" t="s">
        <v>2365</v>
      </c>
      <c r="B384" s="4" t="s">
        <v>2366</v>
      </c>
      <c r="D384" s="4" t="s">
        <v>2367</v>
      </c>
      <c r="E384" s="4" t="s">
        <v>2368</v>
      </c>
      <c r="F384" s="4" t="s">
        <v>130</v>
      </c>
      <c r="H384" s="4" t="s">
        <v>2369</v>
      </c>
      <c r="J384" s="4" t="s">
        <v>132</v>
      </c>
      <c r="K384" s="4" t="s">
        <v>36</v>
      </c>
      <c r="L384" s="4" t="s">
        <v>36</v>
      </c>
      <c r="M384" s="4">
        <f>30.5/1000</f>
        <v>3.0499999999999999E-2</v>
      </c>
      <c r="N384" s="4" t="s">
        <v>60</v>
      </c>
      <c r="T384" s="4" t="s">
        <v>2370</v>
      </c>
      <c r="U384" s="4" t="s">
        <v>2371</v>
      </c>
      <c r="V384" s="4" t="s">
        <v>2372</v>
      </c>
      <c r="Y384" s="6">
        <v>44721</v>
      </c>
      <c r="Z384" s="6">
        <v>45100</v>
      </c>
      <c r="AA384" s="6">
        <v>45100</v>
      </c>
    </row>
    <row r="385" spans="1:27" x14ac:dyDescent="0.35">
      <c r="A385" s="7" t="s">
        <v>2620</v>
      </c>
      <c r="B385" s="4" t="s">
        <v>2373</v>
      </c>
      <c r="C385" s="4" t="s">
        <v>2374</v>
      </c>
      <c r="D385" s="4" t="s">
        <v>2375</v>
      </c>
      <c r="E385" s="4" t="s">
        <v>2376</v>
      </c>
      <c r="J385" s="4" t="s">
        <v>105</v>
      </c>
      <c r="K385" s="4" t="s">
        <v>106</v>
      </c>
      <c r="X385" s="4" t="s">
        <v>181</v>
      </c>
      <c r="Y385" s="6">
        <v>44721</v>
      </c>
      <c r="Z385" s="6"/>
    </row>
    <row r="386" spans="1:27" x14ac:dyDescent="0.35">
      <c r="A386" s="7" t="s">
        <v>2377</v>
      </c>
      <c r="B386" s="4" t="s">
        <v>2378</v>
      </c>
      <c r="D386" s="4" t="s">
        <v>2379</v>
      </c>
      <c r="E386" s="4" t="s">
        <v>2380</v>
      </c>
      <c r="F386" s="4" t="s">
        <v>87</v>
      </c>
      <c r="G386" s="4">
        <v>2.4</v>
      </c>
      <c r="K386" s="4" t="s">
        <v>106</v>
      </c>
      <c r="X386" s="4" t="s">
        <v>181</v>
      </c>
      <c r="Y386" s="6">
        <v>44721</v>
      </c>
      <c r="Z386" s="6"/>
    </row>
    <row r="387" spans="1:27" x14ac:dyDescent="0.35">
      <c r="A387" s="7" t="s">
        <v>2621</v>
      </c>
      <c r="B387" s="4" t="s">
        <v>2381</v>
      </c>
      <c r="D387" s="4" t="s">
        <v>2382</v>
      </c>
      <c r="E387" s="4" t="s">
        <v>2383</v>
      </c>
      <c r="F387" s="4" t="s">
        <v>103</v>
      </c>
      <c r="G387" s="4">
        <v>1.5</v>
      </c>
      <c r="H387" s="4" t="s">
        <v>2384</v>
      </c>
      <c r="J387" s="4" t="s">
        <v>132</v>
      </c>
      <c r="K387" s="4" t="s">
        <v>36</v>
      </c>
      <c r="L387" s="4" t="s">
        <v>36</v>
      </c>
      <c r="M387" s="4">
        <f>20.26/1000</f>
        <v>2.026E-2</v>
      </c>
      <c r="N387" s="4" t="s">
        <v>60</v>
      </c>
      <c r="O387" s="4" t="s">
        <v>49</v>
      </c>
      <c r="T387" s="4" t="s">
        <v>1251</v>
      </c>
      <c r="U387" s="4" t="s">
        <v>2385</v>
      </c>
      <c r="V387" s="4" t="s">
        <v>2386</v>
      </c>
      <c r="Y387" s="6">
        <v>44721</v>
      </c>
      <c r="Z387" s="6">
        <v>45100</v>
      </c>
      <c r="AA387" s="6">
        <v>45100</v>
      </c>
    </row>
    <row r="388" spans="1:27" x14ac:dyDescent="0.35">
      <c r="A388" s="7" t="s">
        <v>2622</v>
      </c>
      <c r="B388" s="4" t="s">
        <v>2387</v>
      </c>
      <c r="D388" s="4" t="s">
        <v>2388</v>
      </c>
      <c r="E388" s="4" t="s">
        <v>2389</v>
      </c>
      <c r="F388" s="4" t="s">
        <v>178</v>
      </c>
      <c r="G388" s="4">
        <v>3</v>
      </c>
      <c r="H388" s="4" t="s">
        <v>2390</v>
      </c>
      <c r="I388" s="4" t="s">
        <v>10</v>
      </c>
      <c r="J388" s="4" t="s">
        <v>180</v>
      </c>
      <c r="K388" s="4" t="s">
        <v>200</v>
      </c>
      <c r="L388" s="4" t="s">
        <v>2391</v>
      </c>
      <c r="N388" s="4" t="s">
        <v>49</v>
      </c>
      <c r="O388" s="4" t="s">
        <v>60</v>
      </c>
      <c r="T388" s="4" t="s">
        <v>2393</v>
      </c>
      <c r="U388" s="4" t="s">
        <v>2394</v>
      </c>
      <c r="V388" s="4" t="s">
        <v>2395</v>
      </c>
      <c r="W388" s="4" t="s">
        <v>2392</v>
      </c>
      <c r="Y388" s="6">
        <v>44721</v>
      </c>
      <c r="Z388" s="6">
        <v>45063</v>
      </c>
      <c r="AA388" s="6">
        <v>45063</v>
      </c>
    </row>
  </sheetData>
  <dataValidations count="2">
    <dataValidation type="list" allowBlank="1" showInputMessage="1" showErrorMessage="1" sqref="M251 W251">
      <formula1>vector</formula1>
    </dataValidation>
    <dataValidation allowBlank="1" showInputMessage="1" showErrorMessage="1" sqref="M151 T264:U264 W151 M154 U169:W169 M169 T172:W172 M172 W154 M203 U211:W211 M211 V213:W214 W203 M224 M228 T228:U228 T232:W232 M232 T268:W269 M268:M269 V283:W283 M283 V355:W355 V351 M264 W224 T154:U154 U203 T151 T224 T215:W216 M215:M216"/>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selection activeCell="C20" sqref="C20"/>
    </sheetView>
  </sheetViews>
  <sheetFormatPr defaultRowHeight="14.5" x14ac:dyDescent="0.35"/>
  <cols>
    <col min="1" max="1" width="21.54296875" customWidth="1"/>
  </cols>
  <sheetData>
    <row r="1" spans="1:2" x14ac:dyDescent="0.35">
      <c r="A1" t="s">
        <v>2396</v>
      </c>
    </row>
    <row r="5" spans="1:2" x14ac:dyDescent="0.35">
      <c r="A5" s="2" t="s">
        <v>0</v>
      </c>
      <c r="B5" t="s">
        <v>2397</v>
      </c>
    </row>
    <row r="6" spans="1:2" x14ac:dyDescent="0.35">
      <c r="A6" s="2" t="s">
        <v>1</v>
      </c>
      <c r="B6" t="s">
        <v>2398</v>
      </c>
    </row>
    <row r="7" spans="1:2" x14ac:dyDescent="0.35">
      <c r="A7" s="2" t="s">
        <v>2</v>
      </c>
      <c r="B7" t="s">
        <v>2399</v>
      </c>
    </row>
    <row r="8" spans="1:2" x14ac:dyDescent="0.35">
      <c r="A8" s="2" t="s">
        <v>3</v>
      </c>
    </row>
    <row r="9" spans="1:2" x14ac:dyDescent="0.35">
      <c r="A9" s="2" t="s">
        <v>4</v>
      </c>
    </row>
    <row r="10" spans="1:2" x14ac:dyDescent="0.35">
      <c r="A10" s="2" t="s">
        <v>5</v>
      </c>
    </row>
    <row r="11" spans="1:2" x14ac:dyDescent="0.35">
      <c r="A11" s="2" t="s">
        <v>6</v>
      </c>
    </row>
    <row r="12" spans="1:2" x14ac:dyDescent="0.35">
      <c r="A12" s="2" t="s">
        <v>7</v>
      </c>
      <c r="B12" t="s">
        <v>2400</v>
      </c>
    </row>
    <row r="13" spans="1:2" x14ac:dyDescent="0.35">
      <c r="A13" s="2" t="s">
        <v>8</v>
      </c>
      <c r="B13" t="s">
        <v>2401</v>
      </c>
    </row>
    <row r="14" spans="1:2" x14ac:dyDescent="0.35">
      <c r="A14" s="2" t="s">
        <v>9</v>
      </c>
      <c r="B14" t="s">
        <v>2402</v>
      </c>
    </row>
    <row r="15" spans="1:2" x14ac:dyDescent="0.35">
      <c r="A15" s="2" t="s">
        <v>10</v>
      </c>
      <c r="B15" t="s">
        <v>2431</v>
      </c>
    </row>
    <row r="16" spans="1:2" x14ac:dyDescent="0.35">
      <c r="A16" s="2" t="s">
        <v>11</v>
      </c>
      <c r="B16" t="s">
        <v>2403</v>
      </c>
    </row>
    <row r="17" spans="1:2" x14ac:dyDescent="0.35">
      <c r="A17" s="2" t="s">
        <v>12</v>
      </c>
      <c r="B17" t="s">
        <v>2404</v>
      </c>
    </row>
    <row r="18" spans="1:2" x14ac:dyDescent="0.35">
      <c r="A18" s="2" t="s">
        <v>13</v>
      </c>
      <c r="B18" t="s">
        <v>2405</v>
      </c>
    </row>
    <row r="19" spans="1:2" x14ac:dyDescent="0.35">
      <c r="A19" s="2" t="s">
        <v>14</v>
      </c>
      <c r="B19" t="s">
        <v>2406</v>
      </c>
    </row>
    <row r="20" spans="1:2" x14ac:dyDescent="0.35">
      <c r="A20" s="2" t="s">
        <v>15</v>
      </c>
      <c r="B20" t="s">
        <v>2440</v>
      </c>
    </row>
    <row r="21" spans="1:2" x14ac:dyDescent="0.35">
      <c r="A21" s="2" t="s">
        <v>16</v>
      </c>
      <c r="B21" t="s">
        <v>2407</v>
      </c>
    </row>
    <row r="22" spans="1:2" x14ac:dyDescent="0.35">
      <c r="A22" s="2" t="s">
        <v>17</v>
      </c>
      <c r="B22" t="s">
        <v>2407</v>
      </c>
    </row>
    <row r="23" spans="1:2" x14ac:dyDescent="0.35">
      <c r="A23" s="2" t="s">
        <v>18</v>
      </c>
      <c r="B23" t="s">
        <v>2407</v>
      </c>
    </row>
    <row r="24" spans="1:2" x14ac:dyDescent="0.35">
      <c r="A24" s="2" t="s">
        <v>19</v>
      </c>
      <c r="B24" t="s">
        <v>2407</v>
      </c>
    </row>
    <row r="25" spans="1:2" x14ac:dyDescent="0.35">
      <c r="A25" s="2" t="s">
        <v>20</v>
      </c>
      <c r="B25" t="s">
        <v>2408</v>
      </c>
    </row>
    <row r="26" spans="1:2" x14ac:dyDescent="0.35">
      <c r="A26" s="2" t="s">
        <v>21</v>
      </c>
      <c r="B26" t="s">
        <v>2409</v>
      </c>
    </row>
    <row r="27" spans="1:2" x14ac:dyDescent="0.35">
      <c r="A27" s="2" t="s">
        <v>22</v>
      </c>
      <c r="B27" t="s">
        <v>2410</v>
      </c>
    </row>
    <row r="28" spans="1:2" x14ac:dyDescent="0.35">
      <c r="A28" s="1" t="s">
        <v>23</v>
      </c>
      <c r="B28" t="s">
        <v>2411</v>
      </c>
    </row>
    <row r="29" spans="1:2" x14ac:dyDescent="0.35">
      <c r="A29" s="1" t="s">
        <v>24</v>
      </c>
      <c r="B29" t="s">
        <v>2412</v>
      </c>
    </row>
    <row r="30" spans="1:2" x14ac:dyDescent="0.35">
      <c r="A30" s="2" t="s">
        <v>25</v>
      </c>
      <c r="B30" t="s">
        <v>2413</v>
      </c>
    </row>
    <row r="31" spans="1:2" x14ac:dyDescent="0.35">
      <c r="A31" s="2" t="s">
        <v>26</v>
      </c>
      <c r="B31" t="s">
        <v>2414</v>
      </c>
    </row>
    <row r="32" spans="1:2" x14ac:dyDescent="0.35">
      <c r="A32" s="2" t="s">
        <v>27</v>
      </c>
      <c r="B32" t="s">
        <v>2414</v>
      </c>
    </row>
    <row r="33" spans="1:2" x14ac:dyDescent="0.35">
      <c r="A33" s="2" t="s">
        <v>28</v>
      </c>
      <c r="B33" t="s">
        <v>2414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dc:creator>
  <cp:lastModifiedBy>Debra</cp:lastModifiedBy>
  <dcterms:created xsi:type="dcterms:W3CDTF">2023-06-23T03:06:45Z</dcterms:created>
  <dcterms:modified xsi:type="dcterms:W3CDTF">2023-11-10T02:56:11Z</dcterms:modified>
</cp:coreProperties>
</file>